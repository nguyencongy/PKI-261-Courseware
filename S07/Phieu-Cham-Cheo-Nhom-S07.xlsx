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khuong/Library/CloudStorage/GoogleDrive-nakhuong@gmail.com/My Drive/0-TEACHING and GUIDING/KMA/PKI/HK261 (CHAT4P)/"/>
    </mc:Choice>
  </mc:AlternateContent>
  <xr:revisionPtr revIDLastSave="0" documentId="8_{BDE29CD8-1FAC-9547-BB45-CC911157A69C}" xr6:coauthVersionLast="47" xr6:coauthVersionMax="47" xr10:uidLastSave="{00000000-0000-0000-0000-000000000000}"/>
  <bookViews>
    <workbookView xWindow="-120" yWindow="600" windowWidth="29040" windowHeight="16260" xr2:uid="{00000000-000D-0000-FFFF-FFFF00000000}"/>
  </bookViews>
  <sheets>
    <sheet name="MAU" sheetId="81" r:id="rId1"/>
    <sheet name="diem bang chu" sheetId="10" r:id="rId2"/>
    <sheet name="diem danh hang ngay" sheetId="11" r:id="rId3"/>
    <sheet name="danh sach sinh vien" sheetId="13" r:id="rId4"/>
  </sheets>
  <definedNames>
    <definedName name="cam_thi">'diem danh hang ngay'!$A$2:$A$4</definedName>
    <definedName name="cấm_thi_danh_sách_cấm_thi">'diem danh hang ngay'!$A$1:$A$4</definedName>
    <definedName name="mon_thi">'diem danh hang ngay'!$E$8:$E$19</definedName>
    <definedName name="môn_thi">'diem danh hang ngay'!$D$1:$D$21</definedName>
    <definedName name="mon_thi_hk">'diem danh hang ngay'!$D$1:$D$19</definedName>
    <definedName name="môn_thi_hk">'diem danh hang ngay'!$D$1:$D$19</definedName>
    <definedName name="thay_day">'diem danh hang ngay'!$C$1:$C$21</definedName>
    <definedName name="thay_day_mon">'diem danh hang ngay'!$D$8:$D$24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81" l="1"/>
  <c r="B14" i="81" s="1"/>
  <c r="C14" i="81"/>
  <c r="G14" i="81"/>
  <c r="H14" i="81"/>
  <c r="K14" i="81"/>
  <c r="M14" i="81"/>
  <c r="A49" i="81"/>
  <c r="K10" i="81"/>
  <c r="K9" i="81"/>
  <c r="A3" i="13"/>
  <c r="A4" i="13" s="1"/>
  <c r="A5" i="13" s="1"/>
  <c r="A6" i="13" s="1"/>
  <c r="A7" i="13" s="1"/>
  <c r="A8" i="13" s="1"/>
  <c r="A9" i="13" s="1"/>
  <c r="A10" i="13" s="1"/>
  <c r="A11" i="13" s="1"/>
  <c r="A12" i="13" s="1"/>
  <c r="A13" i="13" s="1"/>
  <c r="K15" i="81"/>
  <c r="A15" i="81"/>
  <c r="G19" i="81"/>
  <c r="H19" i="81" s="1"/>
  <c r="K6" i="81"/>
  <c r="G13" i="81"/>
  <c r="H48" i="81"/>
  <c r="H13" i="81"/>
  <c r="G15" i="81"/>
  <c r="G16" i="81"/>
  <c r="H16" i="81" s="1"/>
  <c r="G17" i="81"/>
  <c r="H17" i="81" s="1"/>
  <c r="G18" i="81"/>
  <c r="H18" i="81" s="1"/>
  <c r="G20" i="81"/>
  <c r="H20" i="81" s="1"/>
  <c r="G21" i="81"/>
  <c r="G22" i="81"/>
  <c r="H22" i="81" s="1"/>
  <c r="G23" i="81"/>
  <c r="H23" i="81" s="1"/>
  <c r="G24" i="81"/>
  <c r="H24" i="81" s="1"/>
  <c r="G25" i="81"/>
  <c r="H25" i="81" s="1"/>
  <c r="G26" i="81"/>
  <c r="H26" i="81" s="1"/>
  <c r="G27" i="81"/>
  <c r="G28" i="81"/>
  <c r="G29" i="81"/>
  <c r="H29" i="81"/>
  <c r="H21" i="81"/>
  <c r="H28" i="81"/>
  <c r="H15" i="81"/>
  <c r="H27" i="81"/>
  <c r="R8" i="81"/>
  <c r="H8" i="81"/>
  <c r="L14" i="81" l="1"/>
  <c r="C63" i="81"/>
  <c r="B56" i="81"/>
  <c r="C56" i="81"/>
  <c r="C57" i="81"/>
  <c r="C66" i="81"/>
  <c r="C68" i="81"/>
  <c r="B55" i="81"/>
  <c r="B64" i="81"/>
  <c r="C64" i="81"/>
  <c r="C61" i="81"/>
  <c r="C70" i="81"/>
  <c r="B59" i="81"/>
  <c r="B60" i="81"/>
  <c r="C65" i="81"/>
  <c r="B58" i="81"/>
  <c r="B54" i="81"/>
  <c r="B63" i="81"/>
  <c r="B13" i="81"/>
  <c r="C69" i="81"/>
  <c r="B62" i="81"/>
  <c r="B70" i="81"/>
  <c r="C54" i="81"/>
  <c r="C13" i="81"/>
  <c r="B57" i="81"/>
  <c r="B66" i="81"/>
  <c r="B67" i="81"/>
  <c r="B61" i="81"/>
  <c r="C67" i="81"/>
  <c r="B68" i="81"/>
  <c r="L13" i="81"/>
  <c r="A14" i="13"/>
  <c r="A15" i="13" s="1"/>
  <c r="A16" i="13" s="1"/>
  <c r="A17" i="13" s="1"/>
  <c r="A18" i="13" s="1"/>
  <c r="C55" i="81"/>
  <c r="M13" i="81"/>
  <c r="B65" i="81"/>
  <c r="C58" i="81"/>
  <c r="C59" i="81"/>
  <c r="C60" i="81"/>
  <c r="B69" i="81"/>
  <c r="C62" i="81"/>
  <c r="K16" i="81"/>
  <c r="L15" i="81"/>
  <c r="M15" i="81"/>
  <c r="B15" i="81"/>
  <c r="A16" i="81"/>
  <c r="C15" i="81"/>
  <c r="B16" i="81" l="1"/>
  <c r="A17" i="81"/>
  <c r="C16" i="81"/>
  <c r="M16" i="81"/>
  <c r="K17" i="81"/>
  <c r="L16" i="81"/>
  <c r="C17" i="81" l="1"/>
  <c r="B17" i="81"/>
  <c r="A18" i="81"/>
  <c r="M17" i="81"/>
  <c r="K18" i="81"/>
  <c r="L17" i="81"/>
  <c r="K19" i="81" l="1"/>
  <c r="L18" i="81"/>
  <c r="M18" i="81"/>
  <c r="C18" i="81"/>
  <c r="B18" i="81"/>
  <c r="A19" i="81"/>
  <c r="A20" i="81" l="1"/>
  <c r="C19" i="81"/>
  <c r="B19" i="81"/>
  <c r="M19" i="81"/>
  <c r="L19" i="81"/>
  <c r="K20" i="81"/>
  <c r="L20" i="81" l="1"/>
  <c r="M20" i="81"/>
  <c r="K21" i="81"/>
  <c r="A21" i="81"/>
  <c r="O14" i="81" s="1"/>
  <c r="Q14" i="81" s="1"/>
  <c r="R14" i="81" s="1"/>
  <c r="B20" i="81"/>
  <c r="C20" i="81"/>
  <c r="A22" i="81" l="1"/>
  <c r="B21" i="81"/>
  <c r="C21" i="81"/>
  <c r="O15" i="81"/>
  <c r="Q15" i="81" s="1"/>
  <c r="R15" i="81" s="1"/>
  <c r="O16" i="81"/>
  <c r="Q16" i="81" s="1"/>
  <c r="R16" i="81" s="1"/>
  <c r="O17" i="81"/>
  <c r="Q17" i="81" s="1"/>
  <c r="R17" i="81" s="1"/>
  <c r="O18" i="81"/>
  <c r="Q18" i="81" s="1"/>
  <c r="R18" i="81" s="1"/>
  <c r="O19" i="81"/>
  <c r="Q19" i="81" s="1"/>
  <c r="R19" i="81" s="1"/>
  <c r="L21" i="81"/>
  <c r="M21" i="81"/>
  <c r="O21" i="81"/>
  <c r="Q21" i="81" s="1"/>
  <c r="R21" i="81" s="1"/>
  <c r="K22" i="81"/>
  <c r="O20" i="81"/>
  <c r="Q20" i="81" s="1"/>
  <c r="R20" i="81" s="1"/>
  <c r="K23" i="81" l="1"/>
  <c r="M22" i="81"/>
  <c r="L22" i="81"/>
  <c r="B22" i="81"/>
  <c r="C22" i="81"/>
  <c r="A23" i="81"/>
  <c r="B23" i="81" l="1"/>
  <c r="A24" i="81"/>
  <c r="C23" i="81"/>
  <c r="K24" i="81"/>
  <c r="L23" i="81"/>
  <c r="M23" i="81"/>
  <c r="K25" i="81" l="1"/>
  <c r="M24" i="81"/>
  <c r="L24" i="81"/>
  <c r="A25" i="81"/>
  <c r="B24" i="81"/>
  <c r="C24" i="81"/>
  <c r="B25" i="81" l="1"/>
  <c r="C25" i="81"/>
  <c r="A26" i="81"/>
  <c r="O22" i="81"/>
  <c r="Q22" i="81" s="1"/>
  <c r="R22" i="81" s="1"/>
  <c r="O23" i="81"/>
  <c r="Q23" i="81" s="1"/>
  <c r="R23" i="81" s="1"/>
  <c r="O24" i="81"/>
  <c r="Q24" i="81" s="1"/>
  <c r="R24" i="81" s="1"/>
  <c r="O25" i="81"/>
  <c r="Q25" i="81" s="1"/>
  <c r="R25" i="81" s="1"/>
  <c r="K26" i="81"/>
  <c r="M25" i="81"/>
  <c r="L25" i="81"/>
  <c r="A27" i="81" l="1"/>
  <c r="B26" i="81"/>
  <c r="C26" i="81"/>
  <c r="L26" i="81"/>
  <c r="K27" i="81"/>
  <c r="O26" i="81"/>
  <c r="Q26" i="81" s="1"/>
  <c r="R26" i="81" s="1"/>
  <c r="M26" i="81"/>
  <c r="M27" i="81" l="1"/>
  <c r="L27" i="81"/>
  <c r="K28" i="81"/>
  <c r="B27" i="81"/>
  <c r="C27" i="81"/>
  <c r="A28" i="81"/>
  <c r="A29" i="81" l="1"/>
  <c r="C28" i="81"/>
  <c r="B28" i="81"/>
  <c r="O27" i="81"/>
  <c r="Q27" i="81" s="1"/>
  <c r="R27" i="81" s="1"/>
  <c r="O28" i="81"/>
  <c r="Q28" i="81" s="1"/>
  <c r="R28" i="81" s="1"/>
  <c r="L28" i="81"/>
  <c r="K29" i="81"/>
  <c r="M28" i="81"/>
  <c r="L29" i="81" l="1"/>
  <c r="M29" i="81"/>
  <c r="O29" i="81"/>
  <c r="Q29" i="81" s="1"/>
  <c r="R29" i="81" s="1"/>
  <c r="C29" i="81"/>
  <c r="O13" i="81" s="1"/>
  <c r="Q13" i="81" s="1"/>
  <c r="R13" i="81" s="1"/>
  <c r="B29" i="81"/>
</calcChain>
</file>

<file path=xl/sharedStrings.xml><?xml version="1.0" encoding="utf-8"?>
<sst xmlns="http://schemas.openxmlformats.org/spreadsheetml/2006/main" count="218" uniqueCount="190">
  <si>
    <t>STT</t>
  </si>
  <si>
    <t>Họ Và tên</t>
  </si>
  <si>
    <t>Ghi Chú</t>
  </si>
  <si>
    <t>Bằng số</t>
  </si>
  <si>
    <t>Bằng chữ</t>
  </si>
  <si>
    <t>(Ký, ghi rõ họ tên)</t>
  </si>
  <si>
    <t>bang diem bang chu</t>
  </si>
  <si>
    <t>Không</t>
  </si>
  <si>
    <t>Một</t>
  </si>
  <si>
    <t>Một phẩy một</t>
  </si>
  <si>
    <t>bốn phẩy ba</t>
  </si>
  <si>
    <t>điểm giữa ký &lt;5</t>
  </si>
  <si>
    <t>Nghỉ 100%</t>
  </si>
  <si>
    <t>cấm thi danh sách cấm thi</t>
  </si>
  <si>
    <t>cấm thi nghỉ quá 25%</t>
  </si>
  <si>
    <t>BIÊN BẢN</t>
  </si>
  <si>
    <t>BÀN GIAO BÀI THI KÈM THEO DANH SÁCH SINH VIÊN DỰ THI</t>
  </si>
  <si>
    <t>ĐỀ SỐ</t>
  </si>
  <si>
    <t>KÝ TÊN</t>
  </si>
  <si>
    <t>GHI CHÚ</t>
  </si>
  <si>
    <t>Họ và tên</t>
  </si>
  <si>
    <t>Điểm học phần</t>
  </si>
  <si>
    <t xml:space="preserve">Bằng số </t>
  </si>
  <si>
    <t>CỘNG HÒA XÃ HỘI CHỦ NGHĨA VIỆT NAM</t>
  </si>
  <si>
    <t>Độc lập - Tự do - Hạnh phúc</t>
  </si>
  <si>
    <t>KẾT QUẢ ĐÁNH GIÁ ĐIỂM QUÁ TRÌNH</t>
  </si>
  <si>
    <t xml:space="preserve"> (Ký, ghi rõ họ tên)</t>
  </si>
  <si>
    <t>SBD</t>
  </si>
  <si>
    <t>SỐ TGT</t>
  </si>
  <si>
    <t>Giám thị 1</t>
  </si>
  <si>
    <t>Giám thị 2</t>
  </si>
  <si>
    <t>Người nhận</t>
  </si>
  <si>
    <t xml:space="preserve">  (Ký, ghi rõ họ tên)   </t>
  </si>
  <si>
    <t>KẾT QUẢ ĐIỂM HỌC PHẦN</t>
  </si>
  <si>
    <t>Điểm 
QT</t>
  </si>
  <si>
    <t>CÁN BỘ CHẤM THI 1</t>
  </si>
  <si>
    <t>CÁN BỘ CHẤM THI 2</t>
  </si>
  <si>
    <t xml:space="preserve"> (Ký, ghi rõ họ tên)   </t>
  </si>
  <si>
    <t xml:space="preserve">   (Ký, ghi rõ họ tên)   </t>
  </si>
  <si>
    <t>Điểm quá trình</t>
  </si>
  <si>
    <t>Một phẩy hai</t>
  </si>
  <si>
    <t>Một phẩy ba</t>
  </si>
  <si>
    <t>Một phẩy bốn</t>
  </si>
  <si>
    <t>Một phẩy năm</t>
  </si>
  <si>
    <t>Một phẩy sáu</t>
  </si>
  <si>
    <t>Một phẩy bảy</t>
  </si>
  <si>
    <t>Một phẩy tám</t>
  </si>
  <si>
    <t>Một phẩy chín</t>
  </si>
  <si>
    <t>Hai</t>
  </si>
  <si>
    <t>Hai phẩy một</t>
  </si>
  <si>
    <t>Hai phẩy hai</t>
  </si>
  <si>
    <t>Hai phẩy ba</t>
  </si>
  <si>
    <t>Hai phẩy bốn</t>
  </si>
  <si>
    <t>Hai phẩy năm</t>
  </si>
  <si>
    <t>Hai phẩy sáu</t>
  </si>
  <si>
    <t>Hai phẩy bảy</t>
  </si>
  <si>
    <t>Hai phẩy tám</t>
  </si>
  <si>
    <t>Hai phẩy chín</t>
  </si>
  <si>
    <t>Ba</t>
  </si>
  <si>
    <t>Ba phẩy một</t>
  </si>
  <si>
    <t>Ba phẩy hai</t>
  </si>
  <si>
    <t>Ba phẩy ba</t>
  </si>
  <si>
    <t>Ba phẩy bốn</t>
  </si>
  <si>
    <t>Ba phẩy năm</t>
  </si>
  <si>
    <t>Ba phẩy sáu</t>
  </si>
  <si>
    <t>Ba phẩy bảy</t>
  </si>
  <si>
    <t>Ba phẩy tám</t>
  </si>
  <si>
    <t>Ba phẩy chín</t>
  </si>
  <si>
    <t>Bốn</t>
  </si>
  <si>
    <t>Bốn phẩy một</t>
  </si>
  <si>
    <t>Bốn phẩy hai</t>
  </si>
  <si>
    <t>Bốn phẩy bốn</t>
  </si>
  <si>
    <t>Bốn phẩy năm</t>
  </si>
  <si>
    <t>Bốn phẩy sáu</t>
  </si>
  <si>
    <t>Bốn phẩy bảy</t>
  </si>
  <si>
    <t>Bốn phẩy tám</t>
  </si>
  <si>
    <t>Năm</t>
  </si>
  <si>
    <t>Năm phẩy một</t>
  </si>
  <si>
    <t>Năm phẩy hai</t>
  </si>
  <si>
    <t>Năm phẩy ba</t>
  </si>
  <si>
    <t>Năm phẩy bốn</t>
  </si>
  <si>
    <t>Năm phẩy năm</t>
  </si>
  <si>
    <t>Năm phẩy sáu</t>
  </si>
  <si>
    <t>Năm phẩy bẩy</t>
  </si>
  <si>
    <t>Năm phẩy tám</t>
  </si>
  <si>
    <t>Năm phẩy chín</t>
  </si>
  <si>
    <t>Sáu</t>
  </si>
  <si>
    <t>Sáu phẩy một</t>
  </si>
  <si>
    <t>Sáu phẩy hai</t>
  </si>
  <si>
    <t>Sáu phẩy ba</t>
  </si>
  <si>
    <t>Sáu phẩy bốn</t>
  </si>
  <si>
    <t>Sáu phẩy năm</t>
  </si>
  <si>
    <t>Sáu phẩy sáu</t>
  </si>
  <si>
    <t>Sáu phẩy bẩy</t>
  </si>
  <si>
    <t>Sáu phẩy tám</t>
  </si>
  <si>
    <t>Sáu phẩy chín</t>
  </si>
  <si>
    <t>Bẩy</t>
  </si>
  <si>
    <t>Bẩy phẩy một</t>
  </si>
  <si>
    <t>Bẩy phẩy hai</t>
  </si>
  <si>
    <t>Bẩy phẩy ba</t>
  </si>
  <si>
    <t>Bẩy phẩy bốn</t>
  </si>
  <si>
    <t>Bẩy phẩy năm</t>
  </si>
  <si>
    <t>Bẩy phẩy sáu</t>
  </si>
  <si>
    <t>Bẩy phẩy bẩy</t>
  </si>
  <si>
    <t>Bẩy phẩy tám</t>
  </si>
  <si>
    <t>Bẩy phẩy chín</t>
  </si>
  <si>
    <t>Tám</t>
  </si>
  <si>
    <t>Tám phẩy một</t>
  </si>
  <si>
    <t>Tám phẩy hai</t>
  </si>
  <si>
    <t>Tám phẩy ba</t>
  </si>
  <si>
    <t>Tám phẩy bốn</t>
  </si>
  <si>
    <t>Tám phẩy năm</t>
  </si>
  <si>
    <t>Tám phẩy sáu</t>
  </si>
  <si>
    <t>Tám phẩy bẩy</t>
  </si>
  <si>
    <t>Tám phẩy tám</t>
  </si>
  <si>
    <t>Tám phẩy chín</t>
  </si>
  <si>
    <t>Chín</t>
  </si>
  <si>
    <t>Chín phẩy một</t>
  </si>
  <si>
    <t>Chín phẩy hai</t>
  </si>
  <si>
    <t>Chín phẩy ba</t>
  </si>
  <si>
    <t>Chín phẩy bốn</t>
  </si>
  <si>
    <t>Chín phẩy năm</t>
  </si>
  <si>
    <t>Chín phẩy sáu</t>
  </si>
  <si>
    <t>Chín phẩy bẩy</t>
  </si>
  <si>
    <t>Chín phẩy tám</t>
  </si>
  <si>
    <t>Chín phẩy chín</t>
  </si>
  <si>
    <t>Mười</t>
  </si>
  <si>
    <t>Giảng viên chấm thi</t>
  </si>
  <si>
    <t>Ban KT&amp; ĐBCLĐT</t>
  </si>
  <si>
    <t>PHÂN HIỆU HỌC VIỆN KTMM</t>
  </si>
  <si>
    <t>BAN KT&amp;ĐBCLĐT</t>
  </si>
  <si>
    <t>Phụ trách khoa</t>
  </si>
  <si>
    <t>Tổng số bài thi:…..…bài. Số tờ giấy thi:…..…..tờ</t>
  </si>
  <si>
    <t xml:space="preserve">Môn thi: </t>
  </si>
  <si>
    <t>TT</t>
  </si>
  <si>
    <t>HỌ TÊN GIẢNG VIÊN</t>
  </si>
  <si>
    <t>MÔN THI</t>
  </si>
  <si>
    <t>TẠI TP. HỒ CHÍ MINH</t>
  </si>
  <si>
    <t>Bốn phẩy chín</t>
  </si>
  <si>
    <t>MSHV</t>
  </si>
  <si>
    <t>MSSV</t>
  </si>
  <si>
    <t>Điểm TP 1</t>
  </si>
  <si>
    <t>Điểm TP 2</t>
  </si>
  <si>
    <t>Giảng viên:</t>
  </si>
  <si>
    <t>Giảng viên :</t>
  </si>
  <si>
    <t>Điểm thi
KTHP</t>
  </si>
  <si>
    <t>Tổng số SV: 26;         Số SV dự thi:         ; Vắng:          ; Có lý do:              ; Không lý do:</t>
  </si>
  <si>
    <t>CHAT4P001</t>
  </si>
  <si>
    <t>Vũ Thị Diệu Anh</t>
  </si>
  <si>
    <t>CHAT4P002</t>
  </si>
  <si>
    <t>Nguyễn Tuấn Anh</t>
  </si>
  <si>
    <t>CHAT4P003</t>
  </si>
  <si>
    <t>Diệp Kim Chi</t>
  </si>
  <si>
    <t>CHAT4P005</t>
  </si>
  <si>
    <t>Nguyễn Vĩnh Hiển</t>
  </si>
  <si>
    <t>CHAT4P006</t>
  </si>
  <si>
    <t>Nguyễn Ngọc Hoài</t>
  </si>
  <si>
    <t>CHAT4P009</t>
  </si>
  <si>
    <t>Nguyễn Trần Hoàng Long</t>
  </si>
  <si>
    <t>CHAT4P010</t>
  </si>
  <si>
    <t>Võ Thông Minh</t>
  </si>
  <si>
    <t>CHAT4P011</t>
  </si>
  <si>
    <t>Huỳnh Trần Trọng Nghĩa</t>
  </si>
  <si>
    <t>CHAT4P012</t>
  </si>
  <si>
    <t>Tăng Triển Nguyên</t>
  </si>
  <si>
    <t>CHAT4P013</t>
  </si>
  <si>
    <t>Võ Minh Nhật</t>
  </si>
  <si>
    <t>CHAT4P014</t>
  </si>
  <si>
    <t>Nguyễn Trường Phú</t>
  </si>
  <si>
    <t>CHAT4P015</t>
  </si>
  <si>
    <t>Nguyễn Đình Quân</t>
  </si>
  <si>
    <t>CHAT4P016</t>
  </si>
  <si>
    <t>Nguyễn Ngọc Sơn</t>
  </si>
  <si>
    <t>CHAT4P017</t>
  </si>
  <si>
    <t>Hồ Quốc Thái</t>
  </si>
  <si>
    <t>CHAT4P018</t>
  </si>
  <si>
    <t>Trần Minh Triết</t>
  </si>
  <si>
    <t>CHAT4P020</t>
  </si>
  <si>
    <t>Nguyễn Công Ý</t>
  </si>
  <si>
    <t>CHAT12234</t>
  </si>
  <si>
    <t>Đoàn Quang Phúc </t>
  </si>
  <si>
    <t>Thi lần thứ: Nhất; Hình thức thi:....................................; Ngày thi:........./.........../2026; Phòng thi:................</t>
  </si>
  <si>
    <t>Tổng số thí sinh: 17; Thí sinh dự thi:.............; Vắng:..........; Có lý do:.........; Không lý do:........</t>
  </si>
  <si>
    <t>Lớp: CHAT4P   Khóa: 4        Hệ đào tạo: Sau đại học      Chuyên ngành: An toàn thông tin.</t>
  </si>
  <si>
    <t>Học kỳ 2 năm học 2025 - 2026</t>
  </si>
  <si>
    <t>Học kỳ 2; Năm học 2025 - 2026</t>
  </si>
  <si>
    <t xml:space="preserve">   TP.Hồ Chí Minh, ngày            tháng        năm 2026</t>
  </si>
  <si>
    <t>TP.Hồ Chí Minh, Ngày         tháng       năm 2026</t>
  </si>
  <si>
    <t>Nguyễn Văn Dương</t>
  </si>
  <si>
    <t xml:space="preserve"> TP. HCM, Ngày        tháng     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</si>
</sst>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rial"/>
      <family val="2"/>
      <charset val="163"/>
    </font>
    <font>
      <sz val="13"/>
      <color theme="1"/>
      <name val="Cambria"/>
      <family val="1"/>
      <charset val="163"/>
      <scheme val="maj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3"/>
      <color rgb="FF000000"/>
      <name val="Times New Roman"/>
      <family val="1"/>
    </font>
    <font>
      <i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14"/>
      <color theme="1"/>
      <name val="Times New Roman"/>
      <family val="1"/>
    </font>
    <font>
      <sz val="8"/>
      <name val="Arial"/>
      <family val="2"/>
      <charset val="163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2" fillId="0" borderId="0" xfId="0" applyFont="1"/>
    <xf numFmtId="0" fontId="2" fillId="2" borderId="0" xfId="0" applyFont="1" applyFill="1"/>
    <xf numFmtId="0" fontId="2" fillId="2" borderId="0" xfId="0" applyFont="1" applyFill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justify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justify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left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351689</xdr:colOff>
      <xdr:row>2</xdr:row>
      <xdr:rowOff>14653</xdr:rowOff>
    </xdr:from>
    <xdr:to>
      <xdr:col>9</xdr:col>
      <xdr:colOff>219806</xdr:colOff>
      <xdr:row>2</xdr:row>
      <xdr:rowOff>14654</xdr:rowOff>
    </xdr:to>
    <xdr:cxnSp macro="">
      <xdr:nvCxnSpPr>
        <xdr:cNvPr id="3" name="AutoShape 1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>
          <a:cxnSpLocks noChangeShapeType="1"/>
        </xdr:cNvCxnSpPr>
      </xdr:nvCxnSpPr>
      <xdr:spPr bwMode="auto">
        <a:xfrm>
          <a:off x="4029804" y="468922"/>
          <a:ext cx="2110156" cy="1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1</xdr:col>
      <xdr:colOff>637753</xdr:colOff>
      <xdr:row>41</xdr:row>
      <xdr:rowOff>8276</xdr:rowOff>
    </xdr:from>
    <xdr:to>
      <xdr:col>2</xdr:col>
      <xdr:colOff>646045</xdr:colOff>
      <xdr:row>41</xdr:row>
      <xdr:rowOff>8280</xdr:rowOff>
    </xdr:to>
    <xdr:cxnSp macro="">
      <xdr:nvCxnSpPr>
        <xdr:cNvPr id="4" name="AutoShape 1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>
          <a:cxnSpLocks noChangeShapeType="1"/>
        </xdr:cNvCxnSpPr>
      </xdr:nvCxnSpPr>
      <xdr:spPr bwMode="auto">
        <a:xfrm>
          <a:off x="977340" y="10560319"/>
          <a:ext cx="795140" cy="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5</xdr:col>
      <xdr:colOff>412245</xdr:colOff>
      <xdr:row>41</xdr:row>
      <xdr:rowOff>16852</xdr:rowOff>
    </xdr:from>
    <xdr:to>
      <xdr:col>9</xdr:col>
      <xdr:colOff>154596</xdr:colOff>
      <xdr:row>41</xdr:row>
      <xdr:rowOff>19050</xdr:rowOff>
    </xdr:to>
    <xdr:cxnSp macro="">
      <xdr:nvCxnSpPr>
        <xdr:cNvPr id="5" name="AutoShape 1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>
          <a:cxnSpLocks noChangeShapeType="1"/>
        </xdr:cNvCxnSpPr>
      </xdr:nvCxnSpPr>
      <xdr:spPr bwMode="auto">
        <a:xfrm>
          <a:off x="4090360" y="10545640"/>
          <a:ext cx="1984390" cy="2198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16</xdr:col>
      <xdr:colOff>95251</xdr:colOff>
      <xdr:row>2</xdr:row>
      <xdr:rowOff>7326</xdr:rowOff>
    </xdr:from>
    <xdr:to>
      <xdr:col>19</xdr:col>
      <xdr:colOff>153866</xdr:colOff>
      <xdr:row>2</xdr:row>
      <xdr:rowOff>7326</xdr:rowOff>
    </xdr:to>
    <xdr:cxnSp macro="">
      <xdr:nvCxnSpPr>
        <xdr:cNvPr id="6" name="AutoShape 1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>
          <a:cxnSpLocks noChangeShapeType="1"/>
        </xdr:cNvCxnSpPr>
      </xdr:nvCxnSpPr>
      <xdr:spPr bwMode="auto">
        <a:xfrm>
          <a:off x="11400693" y="461595"/>
          <a:ext cx="1897673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1</xdr:col>
      <xdr:colOff>668655</xdr:colOff>
      <xdr:row>2</xdr:row>
      <xdr:rowOff>209550</xdr:rowOff>
    </xdr:from>
    <xdr:to>
      <xdr:col>2</xdr:col>
      <xdr:colOff>609600</xdr:colOff>
      <xdr:row>2</xdr:row>
      <xdr:rowOff>209550</xdr:rowOff>
    </xdr:to>
    <xdr:cxnSp macro="">
      <xdr:nvCxnSpPr>
        <xdr:cNvPr id="8" name="AutoShape 1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>
          <a:cxnSpLocks noChangeShapeType="1"/>
        </xdr:cNvCxnSpPr>
      </xdr:nvCxnSpPr>
      <xdr:spPr bwMode="auto">
        <a:xfrm>
          <a:off x="1011555" y="666750"/>
          <a:ext cx="73152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0</xdr:col>
      <xdr:colOff>971550</xdr:colOff>
      <xdr:row>42</xdr:row>
      <xdr:rowOff>9525</xdr:rowOff>
    </xdr:from>
    <xdr:to>
      <xdr:col>0</xdr:col>
      <xdr:colOff>1619250</xdr:colOff>
      <xdr:row>42</xdr:row>
      <xdr:rowOff>9525</xdr:rowOff>
    </xdr:to>
    <xdr:cxnSp macro="">
      <xdr:nvCxnSpPr>
        <xdr:cNvPr id="10" name="AutoShape 1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>
          <a:cxnSpLocks noChangeShapeType="1"/>
        </xdr:cNvCxnSpPr>
      </xdr:nvCxnSpPr>
      <xdr:spPr bwMode="auto">
        <a:xfrm>
          <a:off x="342900" y="676275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11</xdr:col>
      <xdr:colOff>663527</xdr:colOff>
      <xdr:row>2</xdr:row>
      <xdr:rowOff>213214</xdr:rowOff>
    </xdr:from>
    <xdr:to>
      <xdr:col>12</xdr:col>
      <xdr:colOff>652097</xdr:colOff>
      <xdr:row>2</xdr:row>
      <xdr:rowOff>213214</xdr:rowOff>
    </xdr:to>
    <xdr:cxnSp macro="">
      <xdr:nvCxnSpPr>
        <xdr:cNvPr id="2" name="AutoShape 15">
          <a:extLst>
            <a:ext uri="{FF2B5EF4-FFF2-40B4-BE49-F238E27FC236}">
              <a16:creationId xmlns:a16="http://schemas.microsoft.com/office/drawing/2014/main" id="{7723DC37-1210-4F5C-AB0D-293E395C8C8B}"/>
            </a:ext>
          </a:extLst>
        </xdr:cNvPr>
        <xdr:cNvCxnSpPr>
          <a:cxnSpLocks noChangeShapeType="1"/>
        </xdr:cNvCxnSpPr>
      </xdr:nvCxnSpPr>
      <xdr:spPr bwMode="auto">
        <a:xfrm>
          <a:off x="7858565" y="667483"/>
          <a:ext cx="772551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3"/>
  <sheetViews>
    <sheetView tabSelected="1" view="pageLayout" zoomScaleNormal="100" zoomScaleSheetLayoutView="100" workbookViewId="0">
      <selection activeCell="A14" sqref="A14:XFD14"/>
    </sheetView>
  </sheetViews>
  <sheetFormatPr baseColWidth="10" defaultColWidth="34.140625" defaultRowHeight="16" x14ac:dyDescent="0.2"/>
  <cols>
    <col min="1" max="1" width="4" customWidth="1"/>
    <col min="2" max="2" width="10.42578125" customWidth="1"/>
    <col min="3" max="3" width="10.28515625" customWidth="1"/>
    <col min="4" max="4" width="12.28515625" customWidth="1"/>
    <col min="5" max="6" width="5.7109375" customWidth="1"/>
    <col min="7" max="7" width="6.85546875" customWidth="1"/>
    <col min="8" max="8" width="6" customWidth="1"/>
    <col min="9" max="9" width="7.42578125" customWidth="1"/>
    <col min="10" max="10" width="12.5703125" customWidth="1"/>
    <col min="11" max="11" width="4" bestFit="1" customWidth="1"/>
    <col min="12" max="12" width="10.140625" customWidth="1"/>
    <col min="13" max="13" width="8" customWidth="1"/>
    <col min="14" max="14" width="13.85546875" customWidth="1"/>
    <col min="15" max="15" width="7.7109375" customWidth="1"/>
    <col min="16" max="16" width="6.7109375" customWidth="1"/>
    <col min="17" max="17" width="7.7109375" customWidth="1"/>
    <col min="18" max="18" width="8.140625" customWidth="1"/>
    <col min="19" max="19" width="5.5703125" customWidth="1"/>
    <col min="20" max="20" width="9.85546875" customWidth="1"/>
  </cols>
  <sheetData>
    <row r="1" spans="1:20" ht="18.5" customHeight="1" x14ac:dyDescent="0.2">
      <c r="A1" s="52" t="s">
        <v>129</v>
      </c>
      <c r="B1" s="52"/>
      <c r="C1" s="52"/>
      <c r="D1" s="52"/>
      <c r="E1" s="59" t="s">
        <v>23</v>
      </c>
      <c r="F1" s="59"/>
      <c r="G1" s="59"/>
      <c r="H1" s="59"/>
      <c r="I1" s="59"/>
      <c r="J1" s="59"/>
      <c r="K1" s="52" t="s">
        <v>129</v>
      </c>
      <c r="L1" s="52"/>
      <c r="M1" s="52"/>
      <c r="N1" s="52"/>
      <c r="O1" s="20"/>
      <c r="P1" s="59" t="s">
        <v>23</v>
      </c>
      <c r="Q1" s="59"/>
      <c r="R1" s="59"/>
      <c r="S1" s="59"/>
      <c r="T1" s="59"/>
    </row>
    <row r="2" spans="1:20" ht="18.5" customHeight="1" x14ac:dyDescent="0.2">
      <c r="A2" s="52" t="s">
        <v>137</v>
      </c>
      <c r="B2" s="52"/>
      <c r="C2" s="52"/>
      <c r="D2" s="52"/>
      <c r="E2" s="59" t="s">
        <v>24</v>
      </c>
      <c r="F2" s="59"/>
      <c r="G2" s="59"/>
      <c r="H2" s="59"/>
      <c r="I2" s="59"/>
      <c r="J2" s="59"/>
      <c r="K2" s="52" t="s">
        <v>137</v>
      </c>
      <c r="L2" s="52"/>
      <c r="M2" s="52"/>
      <c r="N2" s="52"/>
      <c r="O2" s="20"/>
      <c r="P2" s="59" t="s">
        <v>24</v>
      </c>
      <c r="Q2" s="59"/>
      <c r="R2" s="59"/>
      <c r="S2" s="59"/>
      <c r="T2" s="59"/>
    </row>
    <row r="3" spans="1:20" ht="18.5" customHeight="1" x14ac:dyDescent="0.2">
      <c r="A3" s="36" t="s">
        <v>130</v>
      </c>
      <c r="B3" s="36"/>
      <c r="C3" s="36"/>
      <c r="D3" s="36"/>
      <c r="E3" s="22"/>
      <c r="F3" s="12"/>
      <c r="G3" s="12"/>
      <c r="H3" s="12"/>
      <c r="I3" s="12"/>
      <c r="J3" s="12"/>
      <c r="K3" s="36" t="s">
        <v>130</v>
      </c>
      <c r="L3" s="36"/>
      <c r="M3" s="36"/>
      <c r="N3" s="36"/>
      <c r="O3" s="22"/>
      <c r="P3" s="6"/>
      <c r="Q3" s="6"/>
      <c r="R3" s="6"/>
      <c r="S3" s="6"/>
      <c r="T3" s="6"/>
    </row>
    <row r="4" spans="1:20" ht="18.5" customHeight="1" x14ac:dyDescent="0.2">
      <c r="A4" s="10"/>
      <c r="B4" s="10"/>
      <c r="C4" s="10"/>
      <c r="D4" s="10"/>
      <c r="E4" s="10"/>
      <c r="F4" s="11"/>
      <c r="G4" s="13"/>
      <c r="H4" s="13"/>
      <c r="I4" s="13"/>
      <c r="J4" s="13"/>
      <c r="K4" s="6"/>
      <c r="L4" s="6"/>
      <c r="M4" s="6"/>
      <c r="N4" s="6"/>
      <c r="O4" s="14"/>
      <c r="P4" s="6"/>
      <c r="Q4" s="6"/>
      <c r="R4" s="6"/>
      <c r="S4" s="6"/>
      <c r="T4" s="6"/>
    </row>
    <row r="5" spans="1:20" s="24" customFormat="1" ht="18.5" customHeight="1" x14ac:dyDescent="0.2">
      <c r="A5" s="58" t="s">
        <v>25</v>
      </c>
      <c r="B5" s="58"/>
      <c r="C5" s="58"/>
      <c r="D5" s="58"/>
      <c r="E5" s="58"/>
      <c r="F5" s="58"/>
      <c r="G5" s="58"/>
      <c r="H5" s="58"/>
      <c r="I5" s="58"/>
      <c r="J5" s="58"/>
      <c r="K5" s="58" t="s">
        <v>33</v>
      </c>
      <c r="L5" s="58"/>
      <c r="M5" s="58"/>
      <c r="N5" s="58"/>
      <c r="O5" s="58"/>
      <c r="P5" s="58"/>
      <c r="Q5" s="58"/>
      <c r="R5" s="58"/>
      <c r="S5" s="58"/>
      <c r="T5" s="58"/>
    </row>
    <row r="6" spans="1:20" s="24" customFormat="1" ht="18.5" customHeight="1" x14ac:dyDescent="0.2">
      <c r="A6" s="36" t="s">
        <v>184</v>
      </c>
      <c r="B6" s="36"/>
      <c r="C6" s="36"/>
      <c r="D6" s="36"/>
      <c r="E6" s="36"/>
      <c r="F6" s="36"/>
      <c r="G6" s="36"/>
      <c r="H6" s="36"/>
      <c r="I6" s="36"/>
      <c r="J6" s="36"/>
      <c r="K6" s="36" t="str">
        <f>A6</f>
        <v>Học kỳ 2 năm học 2025 - 2026</v>
      </c>
      <c r="L6" s="36"/>
      <c r="M6" s="36"/>
      <c r="N6" s="36"/>
      <c r="O6" s="36"/>
      <c r="P6" s="36"/>
      <c r="Q6" s="36"/>
      <c r="R6" s="36"/>
      <c r="S6" s="36"/>
      <c r="T6" s="36"/>
    </row>
    <row r="7" spans="1:20" s="24" customFormat="1" ht="18.5" customHeight="1" x14ac:dyDescent="0.2">
      <c r="A7" s="23"/>
      <c r="B7" s="23"/>
      <c r="C7" s="23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3"/>
      <c r="P7" s="21"/>
      <c r="Q7" s="21"/>
      <c r="R7" s="21"/>
      <c r="S7" s="21"/>
      <c r="T7" s="21"/>
    </row>
    <row r="8" spans="1:20" s="24" customFormat="1" ht="21.75" customHeight="1" x14ac:dyDescent="0.2">
      <c r="A8" s="20" t="s">
        <v>133</v>
      </c>
      <c r="B8" s="20"/>
      <c r="C8" s="20"/>
      <c r="D8" s="20"/>
      <c r="E8" s="20"/>
      <c r="F8" s="20" t="s">
        <v>143</v>
      </c>
      <c r="G8" s="20"/>
      <c r="H8" s="22">
        <f>VLOOKUP(A8,'diem danh hang ngay'!$D$1:$E$13,2,0)</f>
        <v>0</v>
      </c>
      <c r="I8" s="20"/>
      <c r="J8" s="20"/>
      <c r="K8" s="20" t="s">
        <v>133</v>
      </c>
      <c r="L8" s="20"/>
      <c r="M8" s="20"/>
      <c r="N8" s="20"/>
      <c r="O8" s="20"/>
      <c r="P8" s="20" t="s">
        <v>144</v>
      </c>
      <c r="Q8" s="20"/>
      <c r="R8" s="22">
        <f>VLOOKUP(A8,'diem danh hang ngay'!$D$1:$E$13,2,0)</f>
        <v>0</v>
      </c>
      <c r="S8" s="20"/>
      <c r="T8" s="20"/>
    </row>
    <row r="9" spans="1:20" s="24" customFormat="1" ht="21.75" customHeight="1" x14ac:dyDescent="0.2">
      <c r="A9" s="20" t="s">
        <v>183</v>
      </c>
      <c r="B9" s="20"/>
      <c r="C9" s="20"/>
      <c r="D9" s="20"/>
      <c r="E9" s="20"/>
      <c r="F9" s="20"/>
      <c r="G9" s="20"/>
      <c r="H9" s="20"/>
      <c r="I9" s="20"/>
      <c r="J9" s="20"/>
      <c r="K9" s="20" t="str">
        <f>A9</f>
        <v>Lớp: CHAT4P   Khóa: 4        Hệ đào tạo: Sau đại học      Chuyên ngành: An toàn thông tin.</v>
      </c>
      <c r="L9" s="20"/>
      <c r="M9" s="20"/>
      <c r="N9" s="20"/>
      <c r="O9" s="20"/>
      <c r="P9" s="20"/>
      <c r="Q9" s="20"/>
      <c r="R9" s="20"/>
      <c r="S9" s="20"/>
      <c r="T9" s="20"/>
    </row>
    <row r="10" spans="1:20" s="24" customFormat="1" ht="21.75" customHeight="1" x14ac:dyDescent="0.2">
      <c r="A10" s="20" t="s">
        <v>146</v>
      </c>
      <c r="B10" s="20"/>
      <c r="C10" s="20"/>
      <c r="D10" s="20"/>
      <c r="E10" s="20"/>
      <c r="F10" s="20"/>
      <c r="G10" s="20"/>
      <c r="H10" s="20"/>
      <c r="I10" s="20"/>
      <c r="J10" s="20"/>
      <c r="K10" s="20" t="str">
        <f>A10</f>
        <v>Tổng số SV: 26;         Số SV dự thi:         ; Vắng:          ; Có lý do:              ; Không lý do:</v>
      </c>
      <c r="L10" s="20"/>
      <c r="M10" s="20"/>
      <c r="N10" s="20"/>
      <c r="O10" s="20"/>
      <c r="P10" s="20"/>
      <c r="Q10" s="20"/>
      <c r="R10" s="20"/>
      <c r="S10" s="20"/>
      <c r="T10" s="20"/>
    </row>
    <row r="11" spans="1:20" s="24" customFormat="1" ht="21.75" customHeight="1" x14ac:dyDescent="0.2">
      <c r="A11" s="40" t="s">
        <v>0</v>
      </c>
      <c r="B11" s="53" t="s">
        <v>140</v>
      </c>
      <c r="C11" s="46" t="s">
        <v>1</v>
      </c>
      <c r="D11" s="47"/>
      <c r="E11" s="40" t="s">
        <v>141</v>
      </c>
      <c r="F11" s="40" t="s">
        <v>142</v>
      </c>
      <c r="G11" s="60" t="s">
        <v>39</v>
      </c>
      <c r="H11" s="61"/>
      <c r="I11" s="62"/>
      <c r="J11" s="40" t="s">
        <v>2</v>
      </c>
      <c r="K11" s="40" t="s">
        <v>0</v>
      </c>
      <c r="L11" s="53" t="s">
        <v>140</v>
      </c>
      <c r="M11" s="46" t="s">
        <v>20</v>
      </c>
      <c r="N11" s="47"/>
      <c r="O11" s="53" t="s">
        <v>34</v>
      </c>
      <c r="P11" s="53" t="s">
        <v>145</v>
      </c>
      <c r="Q11" s="40" t="s">
        <v>21</v>
      </c>
      <c r="R11" s="40"/>
      <c r="S11" s="40"/>
      <c r="T11" s="40" t="s">
        <v>2</v>
      </c>
    </row>
    <row r="12" spans="1:20" s="24" customFormat="1" ht="21.75" customHeight="1" x14ac:dyDescent="0.2">
      <c r="A12" s="40"/>
      <c r="B12" s="54"/>
      <c r="C12" s="48"/>
      <c r="D12" s="49"/>
      <c r="E12" s="40"/>
      <c r="F12" s="40"/>
      <c r="G12" s="16" t="s">
        <v>3</v>
      </c>
      <c r="H12" s="63" t="s">
        <v>4</v>
      </c>
      <c r="I12" s="63"/>
      <c r="J12" s="40"/>
      <c r="K12" s="40"/>
      <c r="L12" s="54"/>
      <c r="M12" s="48"/>
      <c r="N12" s="49"/>
      <c r="O12" s="54"/>
      <c r="P12" s="54"/>
      <c r="Q12" s="15" t="s">
        <v>22</v>
      </c>
      <c r="R12" s="40" t="s">
        <v>4</v>
      </c>
      <c r="S12" s="40"/>
      <c r="T12" s="40"/>
    </row>
    <row r="13" spans="1:20" s="24" customFormat="1" ht="21.75" customHeight="1" x14ac:dyDescent="0.2">
      <c r="A13" s="2">
        <v>1</v>
      </c>
      <c r="B13" s="35" t="str">
        <f>VLOOKUP(A13,'danh sach sinh vien'!$A$2:$C$51,2,1)</f>
        <v>CHAT4P001</v>
      </c>
      <c r="C13" s="44" t="str">
        <f>VLOOKUP(A13,'danh sach sinh vien'!$A$2:$C$51,3,1)</f>
        <v>Vũ Thị Diệu Anh</v>
      </c>
      <c r="D13" s="45"/>
      <c r="E13" s="25"/>
      <c r="F13" s="2"/>
      <c r="G13" s="17">
        <f t="shared" ref="G13:G29" si="0">ROUND(E13*0.7+F13*0.3,1)</f>
        <v>0</v>
      </c>
      <c r="H13" s="51" t="str">
        <f>VLOOKUP(G13,'diem bang chu'!$J$2:$K$93,2,1)</f>
        <v>Không</v>
      </c>
      <c r="I13" s="51"/>
      <c r="J13" s="26"/>
      <c r="K13" s="3">
        <v>1</v>
      </c>
      <c r="L13" s="35" t="str">
        <f>VLOOKUP(K13,'danh sach sinh vien'!$A$2:$C$51,2,1)</f>
        <v>CHAT4P001</v>
      </c>
      <c r="M13" s="44" t="str">
        <f>VLOOKUP(K13,'danh sach sinh vien'!$A$2:$C$51,3,1)</f>
        <v>Vũ Thị Diệu Anh</v>
      </c>
      <c r="N13" s="45"/>
      <c r="O13" s="3">
        <f>VLOOKUP(K13,$A$13:$G$29,7,1)</f>
        <v>0</v>
      </c>
      <c r="P13" s="28"/>
      <c r="Q13" s="3">
        <f>ROUND(O13*0.3+P13*0.7,1)</f>
        <v>0</v>
      </c>
      <c r="R13" s="50" t="str">
        <f>VLOOKUP(Q13,'diem bang chu'!$J$2:$K$93,2,1)</f>
        <v>Không</v>
      </c>
      <c r="S13" s="50"/>
      <c r="T13" s="19"/>
    </row>
    <row r="14" spans="1:20" s="24" customFormat="1" ht="21.75" customHeight="1" x14ac:dyDescent="0.2">
      <c r="A14" s="2">
        <f>A13+1</f>
        <v>2</v>
      </c>
      <c r="B14" s="35" t="str">
        <f>VLOOKUP(A14,'danh sach sinh vien'!$A$2:$C$51,2,1)</f>
        <v>CHAT4P002</v>
      </c>
      <c r="C14" s="44" t="str">
        <f>VLOOKUP(A14,'danh sach sinh vien'!$A$2:$C$51,3,1)</f>
        <v>Nguyễn Tuấn Anh</v>
      </c>
      <c r="D14" s="45"/>
      <c r="E14" s="25"/>
      <c r="F14" s="2"/>
      <c r="G14" s="17">
        <f t="shared" si="0"/>
        <v>0</v>
      </c>
      <c r="H14" s="66" t="str">
        <f>VLOOKUP(G14,'diem bang chu'!$J$2:$K$93,2,1)</f>
        <v>Không</v>
      </c>
      <c r="I14" s="67"/>
      <c r="J14" s="26"/>
      <c r="K14" s="3">
        <f>K13+1</f>
        <v>2</v>
      </c>
      <c r="L14" s="35" t="str">
        <f>VLOOKUP(K14,'danh sach sinh vien'!$A$2:$C$51,2,1)</f>
        <v>CHAT4P002</v>
      </c>
      <c r="M14" s="44" t="str">
        <f>VLOOKUP(K14,'danh sach sinh vien'!$A$2:$C$51,3,1)</f>
        <v>Nguyễn Tuấn Anh</v>
      </c>
      <c r="N14" s="45"/>
      <c r="O14" s="3">
        <f t="shared" ref="O14" si="1">VLOOKUP(K14,$A$13:$G$29,7,1)</f>
        <v>0</v>
      </c>
      <c r="P14" s="28"/>
      <c r="Q14" s="3">
        <f t="shared" ref="Q14:Q29" si="2">ROUND(O14*0.3+P14*0.7,1)</f>
        <v>0</v>
      </c>
      <c r="R14" s="64" t="str">
        <f>VLOOKUP(Q14,'diem bang chu'!$J$2:$K$93,2,1)</f>
        <v>Không</v>
      </c>
      <c r="S14" s="65"/>
      <c r="T14" s="18"/>
    </row>
    <row r="15" spans="1:20" s="24" customFormat="1" ht="21.75" customHeight="1" x14ac:dyDescent="0.2">
      <c r="A15" s="2">
        <f>A14+1</f>
        <v>3</v>
      </c>
      <c r="B15" s="35" t="str">
        <f>VLOOKUP(A15,'danh sach sinh vien'!$A$2:$C$51,2,1)</f>
        <v>CHAT4P003</v>
      </c>
      <c r="C15" s="44" t="str">
        <f>VLOOKUP(A15,'danh sach sinh vien'!$A$2:$C$51,3,1)</f>
        <v>Diệp Kim Chi</v>
      </c>
      <c r="D15" s="45"/>
      <c r="E15" s="25"/>
      <c r="F15" s="2"/>
      <c r="G15" s="17">
        <f t="shared" si="0"/>
        <v>0</v>
      </c>
      <c r="H15" s="51" t="str">
        <f>VLOOKUP(G15,'diem bang chu'!$J$2:$K$93,2,1)</f>
        <v>Không</v>
      </c>
      <c r="I15" s="51"/>
      <c r="J15" s="26"/>
      <c r="K15" s="3">
        <f>K14+1</f>
        <v>3</v>
      </c>
      <c r="L15" s="35" t="str">
        <f>VLOOKUP(K15,'danh sach sinh vien'!$A$2:$C$51,2,1)</f>
        <v>CHAT4P003</v>
      </c>
      <c r="M15" s="44" t="str">
        <f>VLOOKUP(K15,'danh sach sinh vien'!$A$2:$C$51,3,1)</f>
        <v>Diệp Kim Chi</v>
      </c>
      <c r="N15" s="45"/>
      <c r="O15" s="3">
        <f>VLOOKUP(K15,$A$13:$G$29,7,1)</f>
        <v>0</v>
      </c>
      <c r="P15" s="28"/>
      <c r="Q15" s="3">
        <f t="shared" si="2"/>
        <v>0</v>
      </c>
      <c r="R15" s="50" t="str">
        <f>VLOOKUP(Q15,'diem bang chu'!$J$2:$K$93,2,1)</f>
        <v>Không</v>
      </c>
      <c r="S15" s="50"/>
      <c r="T15" s="18"/>
    </row>
    <row r="16" spans="1:20" s="24" customFormat="1" ht="21.75" customHeight="1" x14ac:dyDescent="0.2">
      <c r="A16" s="2">
        <f t="shared" ref="A16:A29" si="3">A15+1</f>
        <v>4</v>
      </c>
      <c r="B16" s="35" t="str">
        <f>VLOOKUP(A16,'danh sach sinh vien'!$A$2:$C$51,2,1)</f>
        <v>CHAT4P005</v>
      </c>
      <c r="C16" s="44" t="str">
        <f>VLOOKUP(A16,'danh sach sinh vien'!$A$2:$C$51,3,1)</f>
        <v>Nguyễn Vĩnh Hiển</v>
      </c>
      <c r="D16" s="45"/>
      <c r="E16" s="25"/>
      <c r="F16" s="2"/>
      <c r="G16" s="17">
        <f t="shared" si="0"/>
        <v>0</v>
      </c>
      <c r="H16" s="51" t="str">
        <f>VLOOKUP(G16,'diem bang chu'!$J$2:$K$93,2,1)</f>
        <v>Không</v>
      </c>
      <c r="I16" s="51"/>
      <c r="J16" s="26"/>
      <c r="K16" s="3">
        <f t="shared" ref="K16:K29" si="4">K15+1</f>
        <v>4</v>
      </c>
      <c r="L16" s="35" t="str">
        <f>VLOOKUP(K16,'danh sach sinh vien'!$A$2:$C$51,2,1)</f>
        <v>CHAT4P005</v>
      </c>
      <c r="M16" s="44" t="str">
        <f>VLOOKUP(K16,'danh sach sinh vien'!$A$2:$C$51,3,1)</f>
        <v>Nguyễn Vĩnh Hiển</v>
      </c>
      <c r="N16" s="45"/>
      <c r="O16" s="3">
        <f>VLOOKUP(K16,$A$13:$G$29,7,1)</f>
        <v>0</v>
      </c>
      <c r="P16" s="28"/>
      <c r="Q16" s="3">
        <f t="shared" si="2"/>
        <v>0</v>
      </c>
      <c r="R16" s="50" t="str">
        <f>VLOOKUP(Q16,'diem bang chu'!$J$2:$K$93,2,1)</f>
        <v>Không</v>
      </c>
      <c r="S16" s="50"/>
      <c r="T16" s="18"/>
    </row>
    <row r="17" spans="1:20" s="24" customFormat="1" ht="21.75" customHeight="1" x14ac:dyDescent="0.2">
      <c r="A17" s="2">
        <f t="shared" si="3"/>
        <v>5</v>
      </c>
      <c r="B17" s="35" t="str">
        <f>VLOOKUP(A17,'danh sach sinh vien'!$A$2:$C$51,2,1)</f>
        <v>CHAT4P006</v>
      </c>
      <c r="C17" s="44" t="str">
        <f>VLOOKUP(A17,'danh sach sinh vien'!$A$2:$C$51,3,1)</f>
        <v>Nguyễn Ngọc Hoài</v>
      </c>
      <c r="D17" s="45"/>
      <c r="E17" s="25"/>
      <c r="F17" s="2"/>
      <c r="G17" s="17">
        <f t="shared" si="0"/>
        <v>0</v>
      </c>
      <c r="H17" s="51" t="str">
        <f>VLOOKUP(G17,'diem bang chu'!$J$2:$K$93,2,1)</f>
        <v>Không</v>
      </c>
      <c r="I17" s="51"/>
      <c r="J17" s="26"/>
      <c r="K17" s="3">
        <f t="shared" si="4"/>
        <v>5</v>
      </c>
      <c r="L17" s="35" t="str">
        <f>VLOOKUP(K17,'danh sach sinh vien'!$A$2:$C$51,2,1)</f>
        <v>CHAT4P006</v>
      </c>
      <c r="M17" s="44" t="str">
        <f>VLOOKUP(K17,'danh sach sinh vien'!$A$2:$C$51,3,1)</f>
        <v>Nguyễn Ngọc Hoài</v>
      </c>
      <c r="N17" s="45"/>
      <c r="O17" s="3">
        <f>VLOOKUP(K17,$A$13:$G$29,7,1)</f>
        <v>0</v>
      </c>
      <c r="P17" s="28"/>
      <c r="Q17" s="3">
        <f t="shared" si="2"/>
        <v>0</v>
      </c>
      <c r="R17" s="50" t="str">
        <f>VLOOKUP(Q17,'diem bang chu'!$J$2:$K$93,2,1)</f>
        <v>Không</v>
      </c>
      <c r="S17" s="50"/>
      <c r="T17" s="18"/>
    </row>
    <row r="18" spans="1:20" s="24" customFormat="1" ht="21.75" customHeight="1" x14ac:dyDescent="0.2">
      <c r="A18" s="2">
        <f t="shared" si="3"/>
        <v>6</v>
      </c>
      <c r="B18" s="35" t="str">
        <f>VLOOKUP(A18,'danh sach sinh vien'!$A$2:$C$51,2,1)</f>
        <v>CHAT4P009</v>
      </c>
      <c r="C18" s="44" t="str">
        <f>VLOOKUP(A18,'danh sach sinh vien'!$A$2:$C$51,3,1)</f>
        <v>Nguyễn Trần Hoàng Long</v>
      </c>
      <c r="D18" s="45"/>
      <c r="E18" s="25"/>
      <c r="F18" s="2"/>
      <c r="G18" s="17">
        <f t="shared" si="0"/>
        <v>0</v>
      </c>
      <c r="H18" s="51" t="str">
        <f>VLOOKUP(G18,'diem bang chu'!$J$2:$K$93,2,1)</f>
        <v>Không</v>
      </c>
      <c r="I18" s="51"/>
      <c r="J18" s="26"/>
      <c r="K18" s="3">
        <f t="shared" si="4"/>
        <v>6</v>
      </c>
      <c r="L18" s="35" t="str">
        <f>VLOOKUP(K18,'danh sach sinh vien'!$A$2:$C$51,2,1)</f>
        <v>CHAT4P009</v>
      </c>
      <c r="M18" s="44" t="str">
        <f>VLOOKUP(K18,'danh sach sinh vien'!$A$2:$C$51,3,1)</f>
        <v>Nguyễn Trần Hoàng Long</v>
      </c>
      <c r="N18" s="45"/>
      <c r="O18" s="3">
        <f>VLOOKUP(K18,$A$13:$G$29,7,1)</f>
        <v>0</v>
      </c>
      <c r="P18" s="28"/>
      <c r="Q18" s="3">
        <f t="shared" si="2"/>
        <v>0</v>
      </c>
      <c r="R18" s="50" t="str">
        <f>VLOOKUP(Q18,'diem bang chu'!$J$2:$K$93,2,1)</f>
        <v>Không</v>
      </c>
      <c r="S18" s="50"/>
      <c r="T18" s="18"/>
    </row>
    <row r="19" spans="1:20" s="24" customFormat="1" ht="21.75" customHeight="1" x14ac:dyDescent="0.2">
      <c r="A19" s="2">
        <f t="shared" si="3"/>
        <v>7</v>
      </c>
      <c r="B19" s="35" t="str">
        <f>VLOOKUP(A19,'danh sach sinh vien'!$A$2:$C$51,2,1)</f>
        <v>CHAT4P010</v>
      </c>
      <c r="C19" s="44" t="str">
        <f>VLOOKUP(A19,'danh sach sinh vien'!$A$2:$C$51,3,1)</f>
        <v>Võ Thông Minh</v>
      </c>
      <c r="D19" s="45"/>
      <c r="E19" s="25"/>
      <c r="F19" s="2"/>
      <c r="G19" s="17">
        <f t="shared" ref="G19" si="5">ROUND(E19*0.7+F19*0.3,1)</f>
        <v>0</v>
      </c>
      <c r="H19" s="51" t="str">
        <f>VLOOKUP(G19,'diem bang chu'!$J$2:$K$93,2,1)</f>
        <v>Không</v>
      </c>
      <c r="I19" s="51"/>
      <c r="J19" s="26"/>
      <c r="K19" s="3">
        <f t="shared" si="4"/>
        <v>7</v>
      </c>
      <c r="L19" s="35" t="str">
        <f>VLOOKUP(K19,'danh sach sinh vien'!$A$2:$C$51,2,1)</f>
        <v>CHAT4P010</v>
      </c>
      <c r="M19" s="44" t="str">
        <f>VLOOKUP(K19,'danh sach sinh vien'!$A$2:$C$51,3,1)</f>
        <v>Võ Thông Minh</v>
      </c>
      <c r="N19" s="45"/>
      <c r="O19" s="3">
        <f>VLOOKUP(K19,$A$13:$G$29,7,1)</f>
        <v>0</v>
      </c>
      <c r="P19" s="28"/>
      <c r="Q19" s="3">
        <f t="shared" ref="Q19" si="6">ROUND(O19*0.3+P19*0.7,1)</f>
        <v>0</v>
      </c>
      <c r="R19" s="50" t="str">
        <f>VLOOKUP(Q19,'diem bang chu'!$J$2:$K$93,2,1)</f>
        <v>Không</v>
      </c>
      <c r="S19" s="50"/>
      <c r="T19" s="18"/>
    </row>
    <row r="20" spans="1:20" s="24" customFormat="1" ht="21.75" customHeight="1" x14ac:dyDescent="0.2">
      <c r="A20" s="2">
        <f t="shared" si="3"/>
        <v>8</v>
      </c>
      <c r="B20" s="35" t="str">
        <f>VLOOKUP(A20,'danh sach sinh vien'!$A$2:$C$51,2,1)</f>
        <v>CHAT4P011</v>
      </c>
      <c r="C20" s="44" t="str">
        <f>VLOOKUP(A20,'danh sach sinh vien'!$A$2:$C$51,3,1)</f>
        <v>Huỳnh Trần Trọng Nghĩa</v>
      </c>
      <c r="D20" s="45"/>
      <c r="E20" s="25"/>
      <c r="F20" s="2"/>
      <c r="G20" s="17">
        <f t="shared" si="0"/>
        <v>0</v>
      </c>
      <c r="H20" s="51" t="str">
        <f>VLOOKUP(G20,'diem bang chu'!$J$2:$K$93,2,1)</f>
        <v>Không</v>
      </c>
      <c r="I20" s="51"/>
      <c r="J20" s="26"/>
      <c r="K20" s="3">
        <f t="shared" si="4"/>
        <v>8</v>
      </c>
      <c r="L20" s="35" t="str">
        <f>VLOOKUP(K20,'danh sach sinh vien'!$A$2:$C$51,2,1)</f>
        <v>CHAT4P011</v>
      </c>
      <c r="M20" s="44" t="str">
        <f>VLOOKUP(K20,'danh sach sinh vien'!$A$2:$C$51,3,1)</f>
        <v>Huỳnh Trần Trọng Nghĩa</v>
      </c>
      <c r="N20" s="45"/>
      <c r="O20" s="3">
        <f>VLOOKUP(K20,$A$13:$G$29,7,1)</f>
        <v>0</v>
      </c>
      <c r="P20" s="28"/>
      <c r="Q20" s="3">
        <f t="shared" si="2"/>
        <v>0</v>
      </c>
      <c r="R20" s="50" t="str">
        <f>VLOOKUP(Q20,'diem bang chu'!$J$2:$K$93,2,1)</f>
        <v>Không</v>
      </c>
      <c r="S20" s="50"/>
      <c r="T20" s="18"/>
    </row>
    <row r="21" spans="1:20" s="24" customFormat="1" ht="21.75" customHeight="1" x14ac:dyDescent="0.2">
      <c r="A21" s="2">
        <f t="shared" si="3"/>
        <v>9</v>
      </c>
      <c r="B21" s="35" t="str">
        <f>VLOOKUP(A21,'danh sach sinh vien'!$A$2:$C$51,2,1)</f>
        <v>CHAT4P012</v>
      </c>
      <c r="C21" s="44" t="str">
        <f>VLOOKUP(A21,'danh sach sinh vien'!$A$2:$C$51,3,1)</f>
        <v>Tăng Triển Nguyên</v>
      </c>
      <c r="D21" s="45"/>
      <c r="E21" s="25"/>
      <c r="F21" s="2"/>
      <c r="G21" s="17">
        <f t="shared" si="0"/>
        <v>0</v>
      </c>
      <c r="H21" s="51" t="str">
        <f>VLOOKUP(G21,'diem bang chu'!$J$2:$K$93,2,1)</f>
        <v>Không</v>
      </c>
      <c r="I21" s="51"/>
      <c r="J21" s="26"/>
      <c r="K21" s="3">
        <f t="shared" si="4"/>
        <v>9</v>
      </c>
      <c r="L21" s="35" t="str">
        <f>VLOOKUP(K21,'danh sach sinh vien'!$A$2:$C$51,2,1)</f>
        <v>CHAT4P012</v>
      </c>
      <c r="M21" s="44" t="str">
        <f>VLOOKUP(K21,'danh sach sinh vien'!$A$2:$C$51,3,1)</f>
        <v>Tăng Triển Nguyên</v>
      </c>
      <c r="N21" s="45"/>
      <c r="O21" s="3">
        <f>VLOOKUP(K21,$A$13:$G$29,7,1)</f>
        <v>0</v>
      </c>
      <c r="P21" s="28"/>
      <c r="Q21" s="3">
        <f t="shared" si="2"/>
        <v>0</v>
      </c>
      <c r="R21" s="50" t="str">
        <f>VLOOKUP(Q21,'diem bang chu'!$J$2:$K$93,2,1)</f>
        <v>Không</v>
      </c>
      <c r="S21" s="50"/>
      <c r="T21" s="18"/>
    </row>
    <row r="22" spans="1:20" s="24" customFormat="1" ht="21.75" customHeight="1" x14ac:dyDescent="0.2">
      <c r="A22" s="2">
        <f t="shared" si="3"/>
        <v>10</v>
      </c>
      <c r="B22" s="35" t="str">
        <f>VLOOKUP(A22,'danh sach sinh vien'!$A$2:$C$51,2,1)</f>
        <v>CHAT4P013</v>
      </c>
      <c r="C22" s="44" t="str">
        <f>VLOOKUP(A22,'danh sach sinh vien'!$A$2:$C$51,3,1)</f>
        <v>Võ Minh Nhật</v>
      </c>
      <c r="D22" s="45"/>
      <c r="E22" s="25"/>
      <c r="F22" s="3"/>
      <c r="G22" s="17">
        <f t="shared" si="0"/>
        <v>0</v>
      </c>
      <c r="H22" s="51" t="str">
        <f>VLOOKUP(G22,'diem bang chu'!$J$2:$K$93,2,1)</f>
        <v>Không</v>
      </c>
      <c r="I22" s="51"/>
      <c r="J22" s="18"/>
      <c r="K22" s="3">
        <f t="shared" si="4"/>
        <v>10</v>
      </c>
      <c r="L22" s="35" t="str">
        <f>VLOOKUP(K22,'danh sach sinh vien'!$A$2:$C$51,2,1)</f>
        <v>CHAT4P013</v>
      </c>
      <c r="M22" s="44" t="str">
        <f>VLOOKUP(K22,'danh sach sinh vien'!$A$2:$C$51,3,1)</f>
        <v>Võ Minh Nhật</v>
      </c>
      <c r="N22" s="45"/>
      <c r="O22" s="3">
        <f>VLOOKUP(K22,$A$13:$G$29,7,1)</f>
        <v>0</v>
      </c>
      <c r="P22" s="28"/>
      <c r="Q22" s="3">
        <f t="shared" si="2"/>
        <v>0</v>
      </c>
      <c r="R22" s="50" t="str">
        <f>VLOOKUP(Q22,'diem bang chu'!$J$2:$K$93,2,1)</f>
        <v>Không</v>
      </c>
      <c r="S22" s="50"/>
      <c r="T22" s="18"/>
    </row>
    <row r="23" spans="1:20" s="24" customFormat="1" ht="21.75" customHeight="1" x14ac:dyDescent="0.2">
      <c r="A23" s="2">
        <f t="shared" si="3"/>
        <v>11</v>
      </c>
      <c r="B23" s="35" t="str">
        <f>VLOOKUP(A23,'danh sach sinh vien'!$A$2:$C$51,2,1)</f>
        <v>CHAT4P014</v>
      </c>
      <c r="C23" s="44" t="str">
        <f>VLOOKUP(A23,'danh sach sinh vien'!$A$2:$C$51,3,1)</f>
        <v>Nguyễn Trường Phú</v>
      </c>
      <c r="D23" s="45"/>
      <c r="E23" s="25"/>
      <c r="F23" s="3"/>
      <c r="G23" s="17">
        <f t="shared" si="0"/>
        <v>0</v>
      </c>
      <c r="H23" s="51" t="str">
        <f>VLOOKUP(G23,'diem bang chu'!$J$2:$K$93,2,1)</f>
        <v>Không</v>
      </c>
      <c r="I23" s="51"/>
      <c r="J23" s="18"/>
      <c r="K23" s="3">
        <f t="shared" si="4"/>
        <v>11</v>
      </c>
      <c r="L23" s="35" t="str">
        <f>VLOOKUP(K23,'danh sach sinh vien'!$A$2:$C$51,2,1)</f>
        <v>CHAT4P014</v>
      </c>
      <c r="M23" s="44" t="str">
        <f>VLOOKUP(K23,'danh sach sinh vien'!$A$2:$C$51,3,1)</f>
        <v>Nguyễn Trường Phú</v>
      </c>
      <c r="N23" s="45"/>
      <c r="O23" s="3">
        <f>VLOOKUP(K23,$A$13:$G$29,7,1)</f>
        <v>0</v>
      </c>
      <c r="P23" s="28"/>
      <c r="Q23" s="3">
        <f t="shared" si="2"/>
        <v>0</v>
      </c>
      <c r="R23" s="50" t="str">
        <f>VLOOKUP(Q23,'diem bang chu'!$J$2:$K$93,2,1)</f>
        <v>Không</v>
      </c>
      <c r="S23" s="50"/>
      <c r="T23" s="18"/>
    </row>
    <row r="24" spans="1:20" s="24" customFormat="1" ht="21.75" customHeight="1" x14ac:dyDescent="0.2">
      <c r="A24" s="2">
        <f t="shared" si="3"/>
        <v>12</v>
      </c>
      <c r="B24" s="35" t="str">
        <f>VLOOKUP(A24,'danh sach sinh vien'!$A$2:$C$51,2,1)</f>
        <v>CHAT4P015</v>
      </c>
      <c r="C24" s="44" t="str">
        <f>VLOOKUP(A24,'danh sach sinh vien'!$A$2:$C$51,3,1)</f>
        <v>Nguyễn Đình Quân</v>
      </c>
      <c r="D24" s="45"/>
      <c r="E24" s="25"/>
      <c r="F24" s="3"/>
      <c r="G24" s="17">
        <f t="shared" si="0"/>
        <v>0</v>
      </c>
      <c r="H24" s="51" t="str">
        <f>VLOOKUP(G24,'diem bang chu'!$J$2:$K$93,2,1)</f>
        <v>Không</v>
      </c>
      <c r="I24" s="51"/>
      <c r="J24" s="18"/>
      <c r="K24" s="3">
        <f t="shared" si="4"/>
        <v>12</v>
      </c>
      <c r="L24" s="35" t="str">
        <f>VLOOKUP(K24,'danh sach sinh vien'!$A$2:$C$51,2,1)</f>
        <v>CHAT4P015</v>
      </c>
      <c r="M24" s="44" t="str">
        <f>VLOOKUP(K24,'danh sach sinh vien'!$A$2:$C$51,3,1)</f>
        <v>Nguyễn Đình Quân</v>
      </c>
      <c r="N24" s="45"/>
      <c r="O24" s="3">
        <f>VLOOKUP(K24,$A$13:$G$29,7,1)</f>
        <v>0</v>
      </c>
      <c r="P24" s="28"/>
      <c r="Q24" s="3">
        <f t="shared" si="2"/>
        <v>0</v>
      </c>
      <c r="R24" s="50" t="str">
        <f>VLOOKUP(Q24,'diem bang chu'!$J$2:$K$93,2,1)</f>
        <v>Không</v>
      </c>
      <c r="S24" s="50"/>
      <c r="T24" s="18"/>
    </row>
    <row r="25" spans="1:20" s="24" customFormat="1" ht="21.75" customHeight="1" x14ac:dyDescent="0.2">
      <c r="A25" s="2">
        <f t="shared" si="3"/>
        <v>13</v>
      </c>
      <c r="B25" s="35" t="str">
        <f>VLOOKUP(A25,'danh sach sinh vien'!$A$2:$C$51,2,1)</f>
        <v>CHAT4P016</v>
      </c>
      <c r="C25" s="44" t="str">
        <f>VLOOKUP(A25,'danh sach sinh vien'!$A$2:$C$51,3,1)</f>
        <v>Nguyễn Ngọc Sơn</v>
      </c>
      <c r="D25" s="45"/>
      <c r="E25" s="25"/>
      <c r="F25" s="3"/>
      <c r="G25" s="17">
        <f t="shared" si="0"/>
        <v>0</v>
      </c>
      <c r="H25" s="51" t="str">
        <f>VLOOKUP(G25,'diem bang chu'!$J$2:$K$93,2,1)</f>
        <v>Không</v>
      </c>
      <c r="I25" s="51"/>
      <c r="J25" s="18"/>
      <c r="K25" s="3">
        <f t="shared" si="4"/>
        <v>13</v>
      </c>
      <c r="L25" s="35" t="str">
        <f>VLOOKUP(K25,'danh sach sinh vien'!$A$2:$C$51,2,1)</f>
        <v>CHAT4P016</v>
      </c>
      <c r="M25" s="44" t="str">
        <f>VLOOKUP(K25,'danh sach sinh vien'!$A$2:$C$51,3,1)</f>
        <v>Nguyễn Ngọc Sơn</v>
      </c>
      <c r="N25" s="45"/>
      <c r="O25" s="3">
        <f>VLOOKUP(K25,$A$13:$G$29,7,1)</f>
        <v>0</v>
      </c>
      <c r="P25" s="28"/>
      <c r="Q25" s="3">
        <f t="shared" si="2"/>
        <v>0</v>
      </c>
      <c r="R25" s="50" t="str">
        <f>VLOOKUP(Q25,'diem bang chu'!$J$2:$K$93,2,1)</f>
        <v>Không</v>
      </c>
      <c r="S25" s="50"/>
      <c r="T25" s="18"/>
    </row>
    <row r="26" spans="1:20" s="24" customFormat="1" ht="21.75" customHeight="1" x14ac:dyDescent="0.2">
      <c r="A26" s="2">
        <f t="shared" si="3"/>
        <v>14</v>
      </c>
      <c r="B26" s="35" t="str">
        <f>VLOOKUP(A26,'danh sach sinh vien'!$A$2:$C$51,2,1)</f>
        <v>CHAT4P017</v>
      </c>
      <c r="C26" s="44" t="str">
        <f>VLOOKUP(A26,'danh sach sinh vien'!$A$2:$C$51,3,1)</f>
        <v>Hồ Quốc Thái</v>
      </c>
      <c r="D26" s="45"/>
      <c r="E26" s="25"/>
      <c r="F26" s="3"/>
      <c r="G26" s="17">
        <f t="shared" si="0"/>
        <v>0</v>
      </c>
      <c r="H26" s="51" t="str">
        <f>VLOOKUP(G26,'diem bang chu'!$J$2:$K$93,2,1)</f>
        <v>Không</v>
      </c>
      <c r="I26" s="51"/>
      <c r="J26" s="18"/>
      <c r="K26" s="3">
        <f t="shared" si="4"/>
        <v>14</v>
      </c>
      <c r="L26" s="35" t="str">
        <f>VLOOKUP(K26,'danh sach sinh vien'!$A$2:$C$51,2,1)</f>
        <v>CHAT4P017</v>
      </c>
      <c r="M26" s="44" t="str">
        <f>VLOOKUP(K26,'danh sach sinh vien'!$A$2:$C$51,3,1)</f>
        <v>Hồ Quốc Thái</v>
      </c>
      <c r="N26" s="45"/>
      <c r="O26" s="3">
        <f>VLOOKUP(K26,$A$13:$G$29,7,1)</f>
        <v>0</v>
      </c>
      <c r="P26" s="28"/>
      <c r="Q26" s="3">
        <f t="shared" si="2"/>
        <v>0</v>
      </c>
      <c r="R26" s="50" t="str">
        <f>VLOOKUP(Q26,'diem bang chu'!$J$2:$K$93,2,1)</f>
        <v>Không</v>
      </c>
      <c r="S26" s="50"/>
      <c r="T26" s="18"/>
    </row>
    <row r="27" spans="1:20" s="24" customFormat="1" ht="21.75" customHeight="1" x14ac:dyDescent="0.2">
      <c r="A27" s="2">
        <f t="shared" si="3"/>
        <v>15</v>
      </c>
      <c r="B27" s="35" t="str">
        <f>VLOOKUP(A27,'danh sach sinh vien'!$A$2:$C$51,2,1)</f>
        <v>CHAT4P018</v>
      </c>
      <c r="C27" s="44" t="str">
        <f>VLOOKUP(A27,'danh sach sinh vien'!$A$2:$C$51,3,1)</f>
        <v>Trần Minh Triết</v>
      </c>
      <c r="D27" s="45"/>
      <c r="E27" s="25"/>
      <c r="F27" s="3"/>
      <c r="G27" s="17">
        <f t="shared" si="0"/>
        <v>0</v>
      </c>
      <c r="H27" s="51" t="str">
        <f>VLOOKUP(G27,'diem bang chu'!$J$2:$K$93,2,1)</f>
        <v>Không</v>
      </c>
      <c r="I27" s="51"/>
      <c r="J27" s="18"/>
      <c r="K27" s="3">
        <f t="shared" si="4"/>
        <v>15</v>
      </c>
      <c r="L27" s="35" t="str">
        <f>VLOOKUP(K27,'danh sach sinh vien'!$A$2:$C$51,2,1)</f>
        <v>CHAT4P018</v>
      </c>
      <c r="M27" s="44" t="str">
        <f>VLOOKUP(K27,'danh sach sinh vien'!$A$2:$C$51,3,1)</f>
        <v>Trần Minh Triết</v>
      </c>
      <c r="N27" s="45"/>
      <c r="O27" s="3">
        <f>VLOOKUP(K27,$A$13:$G$29,7,1)</f>
        <v>0</v>
      </c>
      <c r="P27" s="28"/>
      <c r="Q27" s="3">
        <f t="shared" si="2"/>
        <v>0</v>
      </c>
      <c r="R27" s="50" t="str">
        <f>VLOOKUP(Q27,'diem bang chu'!$J$2:$K$93,2,1)</f>
        <v>Không</v>
      </c>
      <c r="S27" s="50"/>
      <c r="T27" s="18"/>
    </row>
    <row r="28" spans="1:20" s="24" customFormat="1" ht="21.75" customHeight="1" x14ac:dyDescent="0.2">
      <c r="A28" s="2">
        <f t="shared" si="3"/>
        <v>16</v>
      </c>
      <c r="B28" s="35" t="str">
        <f>VLOOKUP(A28,'danh sach sinh vien'!$A$2:$C$51,2,1)</f>
        <v>CHAT4P020</v>
      </c>
      <c r="C28" s="44" t="str">
        <f>VLOOKUP(A28,'danh sach sinh vien'!$A$2:$C$51,3,1)</f>
        <v>Nguyễn Công Ý</v>
      </c>
      <c r="D28" s="45"/>
      <c r="E28" s="25"/>
      <c r="F28" s="3"/>
      <c r="G28" s="17">
        <f t="shared" si="0"/>
        <v>0</v>
      </c>
      <c r="H28" s="51" t="str">
        <f>VLOOKUP(G28,'diem bang chu'!$J$2:$K$93,2,1)</f>
        <v>Không</v>
      </c>
      <c r="I28" s="51"/>
      <c r="J28" s="18"/>
      <c r="K28" s="3">
        <f t="shared" si="4"/>
        <v>16</v>
      </c>
      <c r="L28" s="35" t="str">
        <f>VLOOKUP(K28,'danh sach sinh vien'!$A$2:$C$51,2,1)</f>
        <v>CHAT4P020</v>
      </c>
      <c r="M28" s="44" t="str">
        <f>VLOOKUP(K28,'danh sach sinh vien'!$A$2:$C$51,3,1)</f>
        <v>Nguyễn Công Ý</v>
      </c>
      <c r="N28" s="45"/>
      <c r="O28" s="3">
        <f>VLOOKUP(K28,$A$13:$G$29,7,1)</f>
        <v>0</v>
      </c>
      <c r="P28" s="28"/>
      <c r="Q28" s="3">
        <f t="shared" si="2"/>
        <v>0</v>
      </c>
      <c r="R28" s="50" t="str">
        <f>VLOOKUP(Q28,'diem bang chu'!$J$2:$K$93,2,1)</f>
        <v>Không</v>
      </c>
      <c r="S28" s="50"/>
      <c r="T28" s="18"/>
    </row>
    <row r="29" spans="1:20" s="24" customFormat="1" ht="21.75" customHeight="1" x14ac:dyDescent="0.2">
      <c r="A29" s="2">
        <f t="shared" si="3"/>
        <v>17</v>
      </c>
      <c r="B29" s="35" t="str">
        <f>VLOOKUP(A29,'danh sach sinh vien'!$A$2:$C$51,2,1)</f>
        <v>CHAT12234</v>
      </c>
      <c r="C29" s="44" t="str">
        <f>VLOOKUP(A29,'danh sach sinh vien'!$A$2:$C$51,3,1)</f>
        <v>Đoàn Quang Phúc </v>
      </c>
      <c r="D29" s="45"/>
      <c r="E29" s="25"/>
      <c r="F29" s="3"/>
      <c r="G29" s="17">
        <f t="shared" si="0"/>
        <v>0</v>
      </c>
      <c r="H29" s="51" t="str">
        <f>VLOOKUP(G29,'diem bang chu'!$J$2:$K$93,2,1)</f>
        <v>Không</v>
      </c>
      <c r="I29" s="51"/>
      <c r="J29" s="18"/>
      <c r="K29" s="3">
        <f t="shared" si="4"/>
        <v>17</v>
      </c>
      <c r="L29" s="35" t="str">
        <f>VLOOKUP(K29,'danh sach sinh vien'!$A$2:$C$51,2,1)</f>
        <v>CHAT12234</v>
      </c>
      <c r="M29" s="44" t="str">
        <f>VLOOKUP(K29,'danh sach sinh vien'!$A$2:$C$51,3,1)</f>
        <v>Đoàn Quang Phúc </v>
      </c>
      <c r="N29" s="45"/>
      <c r="O29" s="3">
        <f>VLOOKUP(K29,$A$13:$G$29,7,1)</f>
        <v>0</v>
      </c>
      <c r="P29" s="28"/>
      <c r="Q29" s="3">
        <f t="shared" si="2"/>
        <v>0</v>
      </c>
      <c r="R29" s="50" t="str">
        <f>VLOOKUP(Q29,'diem bang chu'!$J$2:$K$93,2,1)</f>
        <v>Không</v>
      </c>
      <c r="S29" s="50"/>
      <c r="T29" s="18"/>
    </row>
    <row r="30" spans="1:20" s="24" customFormat="1" ht="21.75" customHeight="1" x14ac:dyDescent="0.2">
      <c r="A30" s="21"/>
      <c r="B30" s="21"/>
      <c r="C30" s="21"/>
      <c r="D30" s="21"/>
      <c r="E30" s="21"/>
      <c r="G30" s="38" t="s">
        <v>189</v>
      </c>
      <c r="H30" s="38"/>
      <c r="I30" s="38"/>
      <c r="J30" s="38"/>
      <c r="K30" s="21"/>
      <c r="L30" s="21"/>
      <c r="M30" s="21"/>
      <c r="N30" s="21"/>
      <c r="O30" s="27"/>
      <c r="P30" s="38" t="s">
        <v>187</v>
      </c>
      <c r="Q30" s="38"/>
      <c r="R30" s="38"/>
      <c r="S30" s="38"/>
      <c r="T30" s="38"/>
    </row>
    <row r="31" spans="1:20" s="24" customFormat="1" ht="21.75" customHeight="1" x14ac:dyDescent="0.2">
      <c r="A31" s="36" t="s">
        <v>127</v>
      </c>
      <c r="B31" s="36"/>
      <c r="C31" s="36"/>
      <c r="D31" s="36" t="s">
        <v>131</v>
      </c>
      <c r="E31" s="36"/>
      <c r="F31" s="36"/>
      <c r="G31" s="57" t="s">
        <v>128</v>
      </c>
      <c r="H31" s="57"/>
      <c r="I31" s="57"/>
      <c r="J31" s="57"/>
      <c r="K31" s="39" t="s">
        <v>35</v>
      </c>
      <c r="L31" s="39"/>
      <c r="M31" s="39"/>
      <c r="N31" s="39" t="s">
        <v>36</v>
      </c>
      <c r="O31" s="39"/>
      <c r="P31" s="39" t="s">
        <v>130</v>
      </c>
      <c r="Q31" s="39"/>
      <c r="R31" s="39"/>
      <c r="S31" s="39"/>
      <c r="T31" s="39"/>
    </row>
    <row r="32" spans="1:20" s="24" customFormat="1" ht="18.5" customHeight="1" x14ac:dyDescent="0.2">
      <c r="A32" s="37" t="s">
        <v>5</v>
      </c>
      <c r="B32" s="37"/>
      <c r="C32" s="37"/>
      <c r="D32" s="37" t="s">
        <v>5</v>
      </c>
      <c r="E32" s="37"/>
      <c r="F32" s="37"/>
      <c r="G32" s="37" t="s">
        <v>26</v>
      </c>
      <c r="H32" s="37"/>
      <c r="I32" s="37"/>
      <c r="J32" s="37"/>
      <c r="K32" s="37" t="s">
        <v>37</v>
      </c>
      <c r="L32" s="37"/>
      <c r="M32" s="37"/>
      <c r="N32" s="37" t="s">
        <v>32</v>
      </c>
      <c r="O32" s="37"/>
      <c r="P32" s="37" t="s">
        <v>38</v>
      </c>
      <c r="Q32" s="37"/>
      <c r="R32" s="37"/>
      <c r="S32" s="37"/>
      <c r="T32" s="37"/>
    </row>
    <row r="33" spans="1:20" s="24" customFormat="1" ht="18.5" customHeight="1" x14ac:dyDescent="0.2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</row>
    <row r="34" spans="1:20" s="24" customFormat="1" ht="18.5" customHeight="1" x14ac:dyDescent="0.2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</row>
    <row r="35" spans="1:20" s="24" customFormat="1" ht="18.5" customHeight="1" x14ac:dyDescent="0.2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</row>
    <row r="36" spans="1:20" s="24" customFormat="1" ht="18.5" customHeight="1" x14ac:dyDescent="0.2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</row>
    <row r="37" spans="1:20" s="24" customFormat="1" ht="18.5" customHeight="1" x14ac:dyDescent="0.2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</row>
    <row r="38" spans="1:20" s="24" customFormat="1" ht="18.5" customHeight="1" x14ac:dyDescent="0.2">
      <c r="A38" s="30"/>
      <c r="B38" s="30"/>
      <c r="C38" s="30"/>
      <c r="D38" s="30"/>
      <c r="E38" s="30"/>
      <c r="F38" s="30"/>
      <c r="G38" s="36" t="s">
        <v>188</v>
      </c>
      <c r="H38" s="36"/>
      <c r="I38" s="36"/>
      <c r="J38" s="36"/>
      <c r="K38" s="30"/>
      <c r="L38" s="30"/>
      <c r="M38" s="30"/>
      <c r="N38" s="30"/>
      <c r="O38" s="30"/>
      <c r="P38" s="30"/>
      <c r="Q38" s="30"/>
      <c r="R38" s="30"/>
      <c r="S38" s="30"/>
      <c r="T38" s="30"/>
    </row>
    <row r="39" spans="1:20" s="24" customFormat="1" ht="18.5" customHeight="1" x14ac:dyDescent="0.2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</row>
    <row r="40" spans="1:20" ht="17.25" customHeight="1" x14ac:dyDescent="0.2">
      <c r="A40" s="52" t="s">
        <v>129</v>
      </c>
      <c r="B40" s="52"/>
      <c r="C40" s="52"/>
      <c r="D40" s="52"/>
      <c r="E40" s="36" t="s">
        <v>23</v>
      </c>
      <c r="F40" s="36"/>
      <c r="G40" s="36"/>
      <c r="H40" s="36"/>
      <c r="I40" s="36"/>
      <c r="J40" s="3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spans="1:20" ht="17.25" customHeight="1" x14ac:dyDescent="0.2">
      <c r="A41" s="36" t="s">
        <v>130</v>
      </c>
      <c r="B41" s="36"/>
      <c r="C41" s="36"/>
      <c r="D41" s="36"/>
      <c r="E41" s="36" t="s">
        <v>24</v>
      </c>
      <c r="F41" s="36"/>
      <c r="G41" s="36"/>
      <c r="H41" s="36"/>
      <c r="I41" s="36"/>
      <c r="J41" s="3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spans="1:20" ht="15.75" customHeight="1" x14ac:dyDescent="0.2">
      <c r="A42" s="11"/>
      <c r="B42" s="11"/>
      <c r="C42" s="11"/>
      <c r="D42" s="11"/>
      <c r="E42" s="11"/>
      <c r="F42" s="21"/>
      <c r="G42" s="21"/>
      <c r="H42" s="21"/>
      <c r="I42" s="21"/>
      <c r="J42" s="21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spans="1:20" ht="15.75" customHeight="1" x14ac:dyDescent="0.2">
      <c r="A43" s="7"/>
      <c r="B43" s="7"/>
      <c r="C43" s="7"/>
      <c r="D43" s="7"/>
      <c r="E43" s="7"/>
      <c r="F43" s="21"/>
      <c r="G43" s="21"/>
      <c r="H43" s="21"/>
      <c r="I43" s="21"/>
      <c r="J43" s="21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spans="1:20" ht="18" customHeight="1" x14ac:dyDescent="0.2">
      <c r="A44" s="58" t="s">
        <v>15</v>
      </c>
      <c r="B44" s="58"/>
      <c r="C44" s="58"/>
      <c r="D44" s="58"/>
      <c r="E44" s="58"/>
      <c r="F44" s="58"/>
      <c r="G44" s="58"/>
      <c r="H44" s="58"/>
      <c r="I44" s="58"/>
      <c r="J44" s="58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spans="1:20" ht="18.75" customHeight="1" x14ac:dyDescent="0.2">
      <c r="A45" s="36" t="s">
        <v>16</v>
      </c>
      <c r="B45" s="36"/>
      <c r="C45" s="36"/>
      <c r="D45" s="36"/>
      <c r="E45" s="36"/>
      <c r="F45" s="36"/>
      <c r="G45" s="36"/>
      <c r="H45" s="36"/>
      <c r="I45" s="36"/>
      <c r="J45" s="3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spans="1:20" ht="19.5" customHeigh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spans="1:20" ht="21.75" customHeight="1" x14ac:dyDescent="0.2">
      <c r="A47" s="20" t="s">
        <v>185</v>
      </c>
      <c r="B47" s="20"/>
      <c r="C47" s="20"/>
      <c r="E47" s="20"/>
      <c r="F47" s="20"/>
      <c r="G47" s="20"/>
      <c r="H47" s="20"/>
      <c r="I47" s="20"/>
      <c r="J47" s="20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spans="1:20" ht="21.75" customHeight="1" x14ac:dyDescent="0.2">
      <c r="A48" s="20" t="s">
        <v>133</v>
      </c>
      <c r="B48" s="20"/>
      <c r="C48" s="20"/>
      <c r="D48" s="20"/>
      <c r="E48" s="20"/>
      <c r="F48" s="20" t="s">
        <v>144</v>
      </c>
      <c r="G48" s="20"/>
      <c r="H48" s="11">
        <f>VLOOKUP(A48,'diem danh hang ngay'!$D$1:$E$13,2,0)</f>
        <v>0</v>
      </c>
      <c r="I48" s="22"/>
      <c r="J48" s="20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spans="1:20" ht="21.75" customHeight="1" x14ac:dyDescent="0.2">
      <c r="A49" s="20" t="str">
        <f>A9</f>
        <v>Lớp: CHAT4P   Khóa: 4        Hệ đào tạo: Sau đại học      Chuyên ngành: An toàn thông tin.</v>
      </c>
      <c r="B49" s="20"/>
      <c r="C49" s="20"/>
      <c r="D49" s="20"/>
      <c r="E49" s="20"/>
      <c r="F49" s="20"/>
      <c r="G49" s="20"/>
      <c r="H49" s="20"/>
      <c r="I49" s="20"/>
      <c r="J49" s="20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spans="1:20" ht="21.75" customHeight="1" x14ac:dyDescent="0.2">
      <c r="A50" s="20" t="s">
        <v>182</v>
      </c>
      <c r="B50" s="20"/>
      <c r="C50" s="20"/>
      <c r="D50" s="20"/>
      <c r="E50" s="20"/>
      <c r="F50" s="20"/>
      <c r="G50" s="20"/>
      <c r="H50" s="20"/>
      <c r="I50" s="20"/>
      <c r="J50" s="20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1:20" ht="21.75" customHeight="1" x14ac:dyDescent="0.2">
      <c r="A51" s="20" t="s">
        <v>181</v>
      </c>
      <c r="B51" s="20"/>
      <c r="C51" s="20"/>
      <c r="D51" s="20"/>
      <c r="E51" s="20"/>
      <c r="F51" s="20"/>
      <c r="G51" s="20"/>
      <c r="H51" s="20"/>
      <c r="I51" s="20"/>
      <c r="J51" s="20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spans="1:20" ht="21.75" customHeight="1" x14ac:dyDescent="0.2">
      <c r="A52" s="40" t="s">
        <v>0</v>
      </c>
      <c r="B52" s="53" t="s">
        <v>140</v>
      </c>
      <c r="C52" s="46" t="s">
        <v>1</v>
      </c>
      <c r="D52" s="47"/>
      <c r="E52" s="40" t="s">
        <v>27</v>
      </c>
      <c r="F52" s="40" t="s">
        <v>17</v>
      </c>
      <c r="G52" s="40" t="s">
        <v>28</v>
      </c>
      <c r="H52" s="46" t="s">
        <v>18</v>
      </c>
      <c r="I52" s="47"/>
      <c r="J52" s="40" t="s">
        <v>19</v>
      </c>
      <c r="K52" s="6"/>
      <c r="L52" s="6"/>
      <c r="M52" s="6"/>
      <c r="N52" s="6"/>
      <c r="O52" s="6"/>
      <c r="P52" s="6"/>
      <c r="Q52" s="6"/>
      <c r="R52" s="6"/>
      <c r="S52" s="6"/>
      <c r="T52" s="6"/>
    </row>
    <row r="53" spans="1:20" ht="21.75" customHeight="1" x14ac:dyDescent="0.2">
      <c r="A53" s="40"/>
      <c r="B53" s="54"/>
      <c r="C53" s="48"/>
      <c r="D53" s="49"/>
      <c r="E53" s="40"/>
      <c r="F53" s="43"/>
      <c r="G53" s="40"/>
      <c r="H53" s="48"/>
      <c r="I53" s="49"/>
      <c r="J53" s="40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spans="1:20" ht="21.75" customHeight="1" x14ac:dyDescent="0.2">
      <c r="A54" s="2">
        <v>1</v>
      </c>
      <c r="B54" s="35" t="str">
        <f>VLOOKUP(A54,'danh sach sinh vien'!$A$2:$C$51,2,1)</f>
        <v>CHAT4P001</v>
      </c>
      <c r="C54" s="44" t="str">
        <f>VLOOKUP(A54,'danh sach sinh vien'!$A$2:$C$51,3,1)</f>
        <v>Vũ Thị Diệu Anh</v>
      </c>
      <c r="D54" s="45"/>
      <c r="E54" s="3">
        <v>1</v>
      </c>
      <c r="F54" s="18"/>
      <c r="G54" s="18"/>
      <c r="H54" s="41"/>
      <c r="I54" s="42"/>
      <c r="J54" s="3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spans="1:20" ht="21.75" customHeight="1" x14ac:dyDescent="0.2">
      <c r="A55" s="3">
        <v>2</v>
      </c>
      <c r="B55" s="35" t="str">
        <f>VLOOKUP(A55,'danh sach sinh vien'!$A$2:$C$51,2,1)</f>
        <v>CHAT4P002</v>
      </c>
      <c r="C55" s="44" t="str">
        <f>VLOOKUP(A55,'danh sach sinh vien'!$A$2:$C$51,3,1)</f>
        <v>Nguyễn Tuấn Anh</v>
      </c>
      <c r="D55" s="45"/>
      <c r="E55" s="3">
        <v>2</v>
      </c>
      <c r="F55" s="18"/>
      <c r="G55" s="18"/>
      <c r="H55" s="41"/>
      <c r="I55" s="42"/>
      <c r="J55" s="3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ht="21.75" customHeight="1" x14ac:dyDescent="0.2">
      <c r="A56" s="3">
        <v>3</v>
      </c>
      <c r="B56" s="35" t="str">
        <f>VLOOKUP(A56,'danh sach sinh vien'!$A$2:$C$51,2,1)</f>
        <v>CHAT4P003</v>
      </c>
      <c r="C56" s="44" t="str">
        <f>VLOOKUP(A56,'danh sach sinh vien'!$A$2:$C$51,3,1)</f>
        <v>Diệp Kim Chi</v>
      </c>
      <c r="D56" s="45"/>
      <c r="E56" s="3">
        <v>3</v>
      </c>
      <c r="F56" s="18"/>
      <c r="G56" s="18"/>
      <c r="H56" s="41"/>
      <c r="I56" s="42"/>
      <c r="J56" s="3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spans="1:20" ht="21.75" customHeight="1" x14ac:dyDescent="0.2">
      <c r="A57" s="3">
        <v>4</v>
      </c>
      <c r="B57" s="35" t="str">
        <f>VLOOKUP(A57,'danh sach sinh vien'!$A$2:$C$51,2,1)</f>
        <v>CHAT4P005</v>
      </c>
      <c r="C57" s="44" t="str">
        <f>VLOOKUP(A57,'danh sach sinh vien'!$A$2:$C$51,3,1)</f>
        <v>Nguyễn Vĩnh Hiển</v>
      </c>
      <c r="D57" s="45"/>
      <c r="E57" s="3">
        <v>4</v>
      </c>
      <c r="F57" s="18"/>
      <c r="G57" s="18"/>
      <c r="H57" s="41"/>
      <c r="I57" s="42"/>
      <c r="J57" s="3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spans="1:20" ht="21.75" customHeight="1" x14ac:dyDescent="0.2">
      <c r="A58" s="3">
        <v>5</v>
      </c>
      <c r="B58" s="35" t="str">
        <f>VLOOKUP(A58,'danh sach sinh vien'!$A$2:$C$51,2,1)</f>
        <v>CHAT4P006</v>
      </c>
      <c r="C58" s="44" t="str">
        <f>VLOOKUP(A58,'danh sach sinh vien'!$A$2:$C$51,3,1)</f>
        <v>Nguyễn Ngọc Hoài</v>
      </c>
      <c r="D58" s="45"/>
      <c r="E58" s="3">
        <v>5</v>
      </c>
      <c r="F58" s="18"/>
      <c r="G58" s="18"/>
      <c r="H58" s="41"/>
      <c r="I58" s="42"/>
      <c r="J58" s="3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spans="1:20" ht="21.75" customHeight="1" x14ac:dyDescent="0.2">
      <c r="A59" s="3">
        <v>6</v>
      </c>
      <c r="B59" s="35" t="str">
        <f>VLOOKUP(A59,'danh sach sinh vien'!$A$2:$C$51,2,1)</f>
        <v>CHAT4P009</v>
      </c>
      <c r="C59" s="44" t="str">
        <f>VLOOKUP(A59,'danh sach sinh vien'!$A$2:$C$51,3,1)</f>
        <v>Nguyễn Trần Hoàng Long</v>
      </c>
      <c r="D59" s="45"/>
      <c r="E59" s="3">
        <v>6</v>
      </c>
      <c r="F59" s="18"/>
      <c r="G59" s="18"/>
      <c r="H59" s="41"/>
      <c r="I59" s="42"/>
      <c r="J59" s="3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spans="1:20" ht="21.75" customHeight="1" x14ac:dyDescent="0.2">
      <c r="A60" s="3">
        <v>7</v>
      </c>
      <c r="B60" s="35" t="str">
        <f>VLOOKUP(A60,'danh sach sinh vien'!$A$2:$C$51,2,1)</f>
        <v>CHAT4P010</v>
      </c>
      <c r="C60" s="44" t="str">
        <f>VLOOKUP(A60,'danh sach sinh vien'!$A$2:$C$51,3,1)</f>
        <v>Võ Thông Minh</v>
      </c>
      <c r="D60" s="45"/>
      <c r="E60" s="3">
        <v>7</v>
      </c>
      <c r="F60" s="18"/>
      <c r="G60" s="18"/>
      <c r="H60" s="41"/>
      <c r="I60" s="42"/>
      <c r="J60" s="3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spans="1:20" ht="21.75" customHeight="1" x14ac:dyDescent="0.2">
      <c r="A61" s="3">
        <v>8</v>
      </c>
      <c r="B61" s="35" t="str">
        <f>VLOOKUP(A61,'danh sach sinh vien'!$A$2:$C$51,2,1)</f>
        <v>CHAT4P011</v>
      </c>
      <c r="C61" s="44" t="str">
        <f>VLOOKUP(A61,'danh sach sinh vien'!$A$2:$C$51,3,1)</f>
        <v>Huỳnh Trần Trọng Nghĩa</v>
      </c>
      <c r="D61" s="45"/>
      <c r="E61" s="3">
        <v>8</v>
      </c>
      <c r="F61" s="18"/>
      <c r="G61" s="18"/>
      <c r="H61" s="41"/>
      <c r="I61" s="42"/>
      <c r="J61" s="3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0" ht="21.75" customHeight="1" x14ac:dyDescent="0.2">
      <c r="A62" s="3">
        <v>9</v>
      </c>
      <c r="B62" s="35" t="str">
        <f>VLOOKUP(A62,'danh sach sinh vien'!$A$2:$C$51,2,1)</f>
        <v>CHAT4P012</v>
      </c>
      <c r="C62" s="44" t="str">
        <f>VLOOKUP(A62,'danh sach sinh vien'!$A$2:$C$51,3,1)</f>
        <v>Tăng Triển Nguyên</v>
      </c>
      <c r="D62" s="45"/>
      <c r="E62" s="3">
        <v>9</v>
      </c>
      <c r="F62" s="18"/>
      <c r="G62" s="18"/>
      <c r="H62" s="41"/>
      <c r="I62" s="42"/>
      <c r="J62" s="3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spans="1:20" ht="21.75" customHeight="1" x14ac:dyDescent="0.2">
      <c r="A63" s="3">
        <v>10</v>
      </c>
      <c r="B63" s="35" t="str">
        <f>VLOOKUP(A63,'danh sach sinh vien'!$A$2:$C$51,2,1)</f>
        <v>CHAT4P013</v>
      </c>
      <c r="C63" s="44" t="str">
        <f>VLOOKUP(A63,'danh sach sinh vien'!$A$2:$C$51,3,1)</f>
        <v>Võ Minh Nhật</v>
      </c>
      <c r="D63" s="45"/>
      <c r="E63" s="3">
        <v>10</v>
      </c>
      <c r="F63" s="18"/>
      <c r="G63" s="18"/>
      <c r="H63" s="41"/>
      <c r="I63" s="42"/>
      <c r="J63" s="3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spans="1:20" ht="21.75" customHeight="1" x14ac:dyDescent="0.2">
      <c r="A64" s="3">
        <v>11</v>
      </c>
      <c r="B64" s="35" t="str">
        <f>VLOOKUP(A64,'danh sach sinh vien'!$A$2:$C$51,2,1)</f>
        <v>CHAT4P014</v>
      </c>
      <c r="C64" s="44" t="str">
        <f>VLOOKUP(A64,'danh sach sinh vien'!$A$2:$C$51,3,1)</f>
        <v>Nguyễn Trường Phú</v>
      </c>
      <c r="D64" s="45"/>
      <c r="E64" s="3">
        <v>11</v>
      </c>
      <c r="F64" s="18"/>
      <c r="G64" s="18"/>
      <c r="H64" s="41"/>
      <c r="I64" s="42"/>
      <c r="J64" s="3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1:20" ht="21.75" customHeight="1" x14ac:dyDescent="0.2">
      <c r="A65" s="3">
        <v>12</v>
      </c>
      <c r="B65" s="35" t="str">
        <f>VLOOKUP(A65,'danh sach sinh vien'!$A$2:$C$51,2,1)</f>
        <v>CHAT4P015</v>
      </c>
      <c r="C65" s="44" t="str">
        <f>VLOOKUP(A65,'danh sach sinh vien'!$A$2:$C$51,3,1)</f>
        <v>Nguyễn Đình Quân</v>
      </c>
      <c r="D65" s="45"/>
      <c r="E65" s="3">
        <v>12</v>
      </c>
      <c r="F65" s="18"/>
      <c r="G65" s="18"/>
      <c r="H65" s="41"/>
      <c r="I65" s="42"/>
      <c r="J65" s="3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spans="1:20" ht="21.75" customHeight="1" x14ac:dyDescent="0.2">
      <c r="A66" s="3">
        <v>13</v>
      </c>
      <c r="B66" s="35" t="str">
        <f>VLOOKUP(A66,'danh sach sinh vien'!$A$2:$C$51,2,1)</f>
        <v>CHAT4P016</v>
      </c>
      <c r="C66" s="44" t="str">
        <f>VLOOKUP(A66,'danh sach sinh vien'!$A$2:$C$51,3,1)</f>
        <v>Nguyễn Ngọc Sơn</v>
      </c>
      <c r="D66" s="45"/>
      <c r="E66" s="3">
        <v>13</v>
      </c>
      <c r="F66" s="18"/>
      <c r="G66" s="18"/>
      <c r="H66" s="41"/>
      <c r="I66" s="42"/>
      <c r="J66" s="3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spans="1:20" ht="21.75" customHeight="1" x14ac:dyDescent="0.2">
      <c r="A67" s="3">
        <v>14</v>
      </c>
      <c r="B67" s="35" t="str">
        <f>VLOOKUP(A67,'danh sach sinh vien'!$A$2:$C$51,2,1)</f>
        <v>CHAT4P017</v>
      </c>
      <c r="C67" s="44" t="str">
        <f>VLOOKUP(A67,'danh sach sinh vien'!$A$2:$C$51,3,1)</f>
        <v>Hồ Quốc Thái</v>
      </c>
      <c r="D67" s="45"/>
      <c r="E67" s="3">
        <v>14</v>
      </c>
      <c r="F67" s="18"/>
      <c r="G67" s="18"/>
      <c r="H67" s="41"/>
      <c r="I67" s="42"/>
      <c r="J67" s="3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spans="1:20" ht="21.75" customHeight="1" x14ac:dyDescent="0.2">
      <c r="A68" s="3">
        <v>15</v>
      </c>
      <c r="B68" s="35" t="str">
        <f>VLOOKUP(A68,'danh sach sinh vien'!$A$2:$C$51,2,1)</f>
        <v>CHAT4P018</v>
      </c>
      <c r="C68" s="44" t="str">
        <f>VLOOKUP(A68,'danh sach sinh vien'!$A$2:$C$51,3,1)</f>
        <v>Trần Minh Triết</v>
      </c>
      <c r="D68" s="45"/>
      <c r="E68" s="3">
        <v>15</v>
      </c>
      <c r="F68" s="18"/>
      <c r="G68" s="18"/>
      <c r="H68" s="41"/>
      <c r="I68" s="42"/>
      <c r="J68" s="3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spans="1:20" ht="21.75" customHeight="1" x14ac:dyDescent="0.2">
      <c r="A69" s="3">
        <v>16</v>
      </c>
      <c r="B69" s="35" t="str">
        <f>VLOOKUP(A69,'danh sach sinh vien'!$A$2:$C$51,2,1)</f>
        <v>CHAT4P020</v>
      </c>
      <c r="C69" s="44" t="str">
        <f>VLOOKUP(A69,'danh sach sinh vien'!$A$2:$C$51,3,1)</f>
        <v>Nguyễn Công Ý</v>
      </c>
      <c r="D69" s="45"/>
      <c r="E69" s="3">
        <v>16</v>
      </c>
      <c r="F69" s="18"/>
      <c r="G69" s="18"/>
      <c r="H69" s="41"/>
      <c r="I69" s="42"/>
      <c r="J69" s="3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spans="1:20" ht="21.75" customHeight="1" x14ac:dyDescent="0.2">
      <c r="A70" s="3">
        <v>17</v>
      </c>
      <c r="B70" s="35" t="str">
        <f>VLOOKUP(A70,'danh sach sinh vien'!$A$2:$C$51,2,1)</f>
        <v>CHAT12234</v>
      </c>
      <c r="C70" s="44" t="str">
        <f>VLOOKUP(A70,'danh sach sinh vien'!$A$2:$C$51,3,1)</f>
        <v>Đoàn Quang Phúc </v>
      </c>
      <c r="D70" s="45"/>
      <c r="E70" s="3">
        <v>17</v>
      </c>
      <c r="F70" s="18"/>
      <c r="G70" s="18"/>
      <c r="H70" s="41"/>
      <c r="I70" s="42"/>
      <c r="J70" s="3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spans="1:20" ht="21.75" customHeight="1" x14ac:dyDescent="0.2">
      <c r="A71" s="56" t="s">
        <v>132</v>
      </c>
      <c r="B71" s="56"/>
      <c r="C71" s="56"/>
      <c r="D71" s="56"/>
      <c r="E71" s="56"/>
      <c r="F71" s="56"/>
      <c r="G71" s="20"/>
      <c r="H71" s="4"/>
      <c r="I71" s="4"/>
      <c r="J71" s="4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spans="1:20" ht="21.75" customHeight="1" x14ac:dyDescent="0.2">
      <c r="A72" s="6"/>
      <c r="B72" s="6"/>
      <c r="C72" s="6"/>
      <c r="D72" s="6"/>
      <c r="E72" s="6"/>
      <c r="F72" s="55" t="s">
        <v>186</v>
      </c>
      <c r="G72" s="55"/>
      <c r="H72" s="55"/>
      <c r="I72" s="55"/>
      <c r="J72" s="55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spans="1:20" ht="21.75" customHeight="1" x14ac:dyDescent="0.2">
      <c r="A73" s="36" t="s">
        <v>29</v>
      </c>
      <c r="B73" s="36"/>
      <c r="C73" s="36"/>
      <c r="D73" s="36" t="s">
        <v>30</v>
      </c>
      <c r="E73" s="36"/>
      <c r="F73" s="36" t="s">
        <v>31</v>
      </c>
      <c r="G73" s="36"/>
      <c r="H73" s="36"/>
      <c r="I73" s="36"/>
      <c r="J73" s="3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spans="1:20" ht="18" customHeight="1" x14ac:dyDescent="0.2">
      <c r="A74" s="37" t="s">
        <v>32</v>
      </c>
      <c r="B74" s="37"/>
      <c r="C74" s="37"/>
      <c r="D74" s="37" t="s">
        <v>32</v>
      </c>
      <c r="E74" s="37"/>
      <c r="F74" s="37" t="s">
        <v>32</v>
      </c>
      <c r="G74" s="37"/>
      <c r="H74" s="37"/>
      <c r="I74" s="37"/>
      <c r="J74" s="37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1:20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81" ht="18" customHeight="1" x14ac:dyDescent="0.2"/>
    <row r="83" ht="22.5" customHeight="1" x14ac:dyDescent="0.2"/>
    <row r="87" ht="18" customHeight="1" x14ac:dyDescent="0.2"/>
    <row r="88" ht="14.25" customHeight="1" x14ac:dyDescent="0.2"/>
    <row r="89" ht="18" customHeight="1" x14ac:dyDescent="0.2"/>
    <row r="90" ht="18.75" customHeight="1" x14ac:dyDescent="0.2"/>
    <row r="91" ht="23.25" customHeight="1" x14ac:dyDescent="0.2"/>
    <row r="92" ht="23.25" customHeight="1" x14ac:dyDescent="0.2"/>
    <row r="93" ht="20.25" customHeight="1" x14ac:dyDescent="0.2"/>
    <row r="94" ht="18.75" customHeight="1" x14ac:dyDescent="0.2"/>
    <row r="95" ht="19.5" customHeight="1" x14ac:dyDescent="0.2"/>
    <row r="96" ht="21" customHeight="1" x14ac:dyDescent="0.2"/>
    <row r="97" ht="18.75" customHeight="1" x14ac:dyDescent="0.2"/>
    <row r="98" ht="20.25" customHeight="1" x14ac:dyDescent="0.2"/>
    <row r="99" ht="19.5" customHeight="1" x14ac:dyDescent="0.2"/>
    <row r="100" ht="18" customHeight="1" x14ac:dyDescent="0.2"/>
    <row r="101" ht="21" customHeight="1" x14ac:dyDescent="0.2"/>
    <row r="102" ht="18.75" customHeight="1" x14ac:dyDescent="0.2"/>
    <row r="103" ht="18" customHeight="1" x14ac:dyDescent="0.2"/>
    <row r="104" ht="19.5" customHeight="1" x14ac:dyDescent="0.2"/>
    <row r="105" ht="20.25" customHeight="1" x14ac:dyDescent="0.2"/>
    <row r="106" ht="19.5" customHeight="1" x14ac:dyDescent="0.2"/>
    <row r="107" ht="20.25" customHeight="1" x14ac:dyDescent="0.2"/>
    <row r="108" ht="21" customHeight="1" x14ac:dyDescent="0.2"/>
    <row r="109" ht="19.5" customHeight="1" x14ac:dyDescent="0.2"/>
    <row r="110" ht="19.5" customHeight="1" x14ac:dyDescent="0.2"/>
    <row r="111" ht="18.75" customHeight="1" x14ac:dyDescent="0.2"/>
    <row r="112" ht="12" customHeight="1" x14ac:dyDescent="0.2"/>
    <row r="113" ht="18.75" customHeight="1" x14ac:dyDescent="0.2"/>
    <row r="114" ht="19.5" customHeight="1" x14ac:dyDescent="0.2"/>
    <row r="115" ht="17.25" customHeight="1" x14ac:dyDescent="0.2"/>
    <row r="116" ht="18" customHeight="1" x14ac:dyDescent="0.2"/>
    <row r="117" ht="17.25" customHeight="1" x14ac:dyDescent="0.2"/>
    <row r="118" ht="16.5" customHeight="1" x14ac:dyDescent="0.2"/>
    <row r="119" ht="18" customHeight="1" x14ac:dyDescent="0.2"/>
    <row r="120" ht="15" customHeight="1" x14ac:dyDescent="0.2"/>
    <row r="121" ht="19.5" customHeight="1" x14ac:dyDescent="0.2"/>
    <row r="122" ht="20.25" customHeight="1" x14ac:dyDescent="0.2"/>
    <row r="123" ht="21.75" customHeight="1" x14ac:dyDescent="0.2"/>
    <row r="124" ht="22.5" customHeight="1" x14ac:dyDescent="0.2"/>
    <row r="125" ht="23.25" customHeight="1" x14ac:dyDescent="0.2"/>
    <row r="126" ht="16.5" customHeight="1" x14ac:dyDescent="0.2"/>
    <row r="127" ht="18" customHeight="1" x14ac:dyDescent="0.2"/>
    <row r="128" ht="16.5" customHeight="1" x14ac:dyDescent="0.2"/>
    <row r="129" ht="18" customHeight="1" x14ac:dyDescent="0.2"/>
    <row r="130" ht="18" customHeight="1" x14ac:dyDescent="0.2"/>
    <row r="131" ht="16.5" customHeight="1" x14ac:dyDescent="0.2"/>
    <row r="132" ht="18.75" customHeight="1" x14ac:dyDescent="0.2"/>
    <row r="133" ht="18" customHeight="1" x14ac:dyDescent="0.2"/>
    <row r="134" ht="22.5" customHeight="1" x14ac:dyDescent="0.2"/>
    <row r="135" ht="20.25" customHeight="1" x14ac:dyDescent="0.2"/>
    <row r="136" ht="23.25" customHeight="1" x14ac:dyDescent="0.2"/>
    <row r="137" ht="23.25" customHeight="1" x14ac:dyDescent="0.2"/>
    <row r="138" ht="19.5" customHeight="1" x14ac:dyDescent="0.2"/>
    <row r="139" ht="18" customHeight="1" x14ac:dyDescent="0.2"/>
    <row r="140" ht="17.25" customHeight="1" x14ac:dyDescent="0.2"/>
    <row r="141" ht="21.75" customHeight="1" x14ac:dyDescent="0.2"/>
    <row r="142" ht="20.25" customHeight="1" x14ac:dyDescent="0.2"/>
    <row r="143" ht="22.5" customHeight="1" x14ac:dyDescent="0.2"/>
    <row r="144" ht="18.75" customHeight="1" x14ac:dyDescent="0.2"/>
    <row r="145" ht="21" customHeight="1" x14ac:dyDescent="0.2"/>
    <row r="146" ht="18" customHeight="1" x14ac:dyDescent="0.2"/>
    <row r="147" ht="18.75" customHeight="1" x14ac:dyDescent="0.2"/>
    <row r="148" ht="17.25" customHeight="1" x14ac:dyDescent="0.2"/>
    <row r="149" ht="18" customHeight="1" x14ac:dyDescent="0.2"/>
    <row r="150" ht="18" customHeight="1" x14ac:dyDescent="0.2"/>
    <row r="151" ht="19.5" customHeight="1" x14ac:dyDescent="0.2"/>
    <row r="152" ht="18" customHeight="1" x14ac:dyDescent="0.2"/>
    <row r="153" ht="19.5" customHeight="1" x14ac:dyDescent="0.2"/>
    <row r="154" ht="16.5" customHeight="1" x14ac:dyDescent="0.2"/>
    <row r="155" ht="18.75" customHeight="1" x14ac:dyDescent="0.2"/>
    <row r="183" ht="15.75" customHeight="1" x14ac:dyDescent="0.2"/>
  </sheetData>
  <mergeCells count="169">
    <mergeCell ref="R19:S19"/>
    <mergeCell ref="P1:T1"/>
    <mergeCell ref="P2:T2"/>
    <mergeCell ref="T11:T12"/>
    <mergeCell ref="A5:J5"/>
    <mergeCell ref="K5:T5"/>
    <mergeCell ref="A6:J6"/>
    <mergeCell ref="K6:T6"/>
    <mergeCell ref="A11:A12"/>
    <mergeCell ref="E11:E12"/>
    <mergeCell ref="F11:F12"/>
    <mergeCell ref="G11:I11"/>
    <mergeCell ref="J11:J12"/>
    <mergeCell ref="H12:I12"/>
    <mergeCell ref="R12:S12"/>
    <mergeCell ref="K11:K12"/>
    <mergeCell ref="O11:O12"/>
    <mergeCell ref="A1:D1"/>
    <mergeCell ref="A2:D2"/>
    <mergeCell ref="A3:D3"/>
    <mergeCell ref="E1:J1"/>
    <mergeCell ref="E2:J2"/>
    <mergeCell ref="M11:N12"/>
    <mergeCell ref="R22:S22"/>
    <mergeCell ref="H23:I23"/>
    <mergeCell ref="R23:S23"/>
    <mergeCell ref="H24:I24"/>
    <mergeCell ref="R24:S24"/>
    <mergeCell ref="P11:P12"/>
    <mergeCell ref="Q11:S11"/>
    <mergeCell ref="H18:I18"/>
    <mergeCell ref="R18:S18"/>
    <mergeCell ref="H20:I20"/>
    <mergeCell ref="R20:S20"/>
    <mergeCell ref="H21:I21"/>
    <mergeCell ref="R21:S21"/>
    <mergeCell ref="H15:I15"/>
    <mergeCell ref="R15:S15"/>
    <mergeCell ref="H16:I16"/>
    <mergeCell ref="R16:S16"/>
    <mergeCell ref="H17:I17"/>
    <mergeCell ref="R17:S17"/>
    <mergeCell ref="C19:D19"/>
    <mergeCell ref="R13:S13"/>
    <mergeCell ref="H14:I14"/>
    <mergeCell ref="R14:S14"/>
    <mergeCell ref="H60:I60"/>
    <mergeCell ref="H61:I61"/>
    <mergeCell ref="H62:I62"/>
    <mergeCell ref="H63:I63"/>
    <mergeCell ref="H59:I59"/>
    <mergeCell ref="G30:J30"/>
    <mergeCell ref="G31:J31"/>
    <mergeCell ref="G32:J32"/>
    <mergeCell ref="K31:M31"/>
    <mergeCell ref="K32:M32"/>
    <mergeCell ref="N31:O31"/>
    <mergeCell ref="J52:J53"/>
    <mergeCell ref="H54:I54"/>
    <mergeCell ref="H55:I55"/>
    <mergeCell ref="H56:I56"/>
    <mergeCell ref="A44:J44"/>
    <mergeCell ref="A45:J45"/>
    <mergeCell ref="C27:D27"/>
    <mergeCell ref="C28:D28"/>
    <mergeCell ref="H19:I19"/>
    <mergeCell ref="M19:N19"/>
    <mergeCell ref="B11:B12"/>
    <mergeCell ref="B52:B53"/>
    <mergeCell ref="H67:I67"/>
    <mergeCell ref="H68:I68"/>
    <mergeCell ref="H69:I69"/>
    <mergeCell ref="H70:I70"/>
    <mergeCell ref="H57:I57"/>
    <mergeCell ref="H58:I58"/>
    <mergeCell ref="C11:D12"/>
    <mergeCell ref="A31:C31"/>
    <mergeCell ref="A32:C32"/>
    <mergeCell ref="D31:F31"/>
    <mergeCell ref="D32:F32"/>
    <mergeCell ref="C13:D13"/>
    <mergeCell ref="C14:D14"/>
    <mergeCell ref="C15:D15"/>
    <mergeCell ref="C16:D16"/>
    <mergeCell ref="C17:D17"/>
    <mergeCell ref="C18:D18"/>
    <mergeCell ref="C20:D20"/>
    <mergeCell ref="H13:I13"/>
    <mergeCell ref="C29:D29"/>
    <mergeCell ref="C52:D53"/>
    <mergeCell ref="C21:D21"/>
    <mergeCell ref="C22:D22"/>
    <mergeCell ref="C23:D23"/>
    <mergeCell ref="C24:D24"/>
    <mergeCell ref="C25:D25"/>
    <mergeCell ref="C26:D26"/>
    <mergeCell ref="A71:F71"/>
    <mergeCell ref="A73:C73"/>
    <mergeCell ref="A74:C74"/>
    <mergeCell ref="D73:E73"/>
    <mergeCell ref="D74:E74"/>
    <mergeCell ref="F72:J72"/>
    <mergeCell ref="F73:J73"/>
    <mergeCell ref="F74:J74"/>
    <mergeCell ref="A40:D40"/>
    <mergeCell ref="A41:D41"/>
    <mergeCell ref="E40:J40"/>
    <mergeCell ref="E41:J41"/>
    <mergeCell ref="C63:D63"/>
    <mergeCell ref="C64:D64"/>
    <mergeCell ref="C65:D65"/>
    <mergeCell ref="C66:D66"/>
    <mergeCell ref="C67:D67"/>
    <mergeCell ref="C68:D68"/>
    <mergeCell ref="C69:D69"/>
    <mergeCell ref="C70:D70"/>
    <mergeCell ref="C54:D54"/>
    <mergeCell ref="C55:D55"/>
    <mergeCell ref="C56:D56"/>
    <mergeCell ref="A52:A53"/>
    <mergeCell ref="M13:N13"/>
    <mergeCell ref="M14:N14"/>
    <mergeCell ref="M15:N15"/>
    <mergeCell ref="M16:N16"/>
    <mergeCell ref="M17:N17"/>
    <mergeCell ref="M18:N18"/>
    <mergeCell ref="M20:N20"/>
    <mergeCell ref="M21:N21"/>
    <mergeCell ref="K1:N1"/>
    <mergeCell ref="K2:N2"/>
    <mergeCell ref="K3:N3"/>
    <mergeCell ref="L11:L12"/>
    <mergeCell ref="R28:S28"/>
    <mergeCell ref="H29:I29"/>
    <mergeCell ref="R29:S29"/>
    <mergeCell ref="R25:S25"/>
    <mergeCell ref="H26:I26"/>
    <mergeCell ref="R26:S26"/>
    <mergeCell ref="H27:I27"/>
    <mergeCell ref="R27:S27"/>
    <mergeCell ref="H25:I25"/>
    <mergeCell ref="M28:N28"/>
    <mergeCell ref="M29:N29"/>
    <mergeCell ref="H28:I28"/>
    <mergeCell ref="H65:I65"/>
    <mergeCell ref="H66:I66"/>
    <mergeCell ref="G52:G53"/>
    <mergeCell ref="H52:I53"/>
    <mergeCell ref="M22:N22"/>
    <mergeCell ref="M23:N23"/>
    <mergeCell ref="M24:N24"/>
    <mergeCell ref="M25:N25"/>
    <mergeCell ref="M26:N26"/>
    <mergeCell ref="M27:N27"/>
    <mergeCell ref="H22:I22"/>
    <mergeCell ref="G38:J38"/>
    <mergeCell ref="N32:O32"/>
    <mergeCell ref="P30:T30"/>
    <mergeCell ref="P31:T31"/>
    <mergeCell ref="P32:T32"/>
    <mergeCell ref="E52:E53"/>
    <mergeCell ref="H64:I64"/>
    <mergeCell ref="F52:F53"/>
    <mergeCell ref="C60:D60"/>
    <mergeCell ref="C61:D61"/>
    <mergeCell ref="C62:D62"/>
    <mergeCell ref="C57:D57"/>
    <mergeCell ref="C58:D58"/>
    <mergeCell ref="C59:D59"/>
  </mergeCells>
  <dataValidations count="2">
    <dataValidation type="list" allowBlank="1" showInputMessage="1" showErrorMessage="1" sqref="A48:C48 K8:M8 A8:C8" xr:uid="{00000000-0002-0000-0000-000000000000}">
      <formula1>môn_thi</formula1>
    </dataValidation>
    <dataValidation type="list" allowBlank="1" showInputMessage="1" showErrorMessage="1" sqref="J13:J29" xr:uid="{00000000-0002-0000-0000-000001000000}">
      <formula1>cam_thi</formula1>
    </dataValidation>
  </dataValidations>
  <pageMargins left="0.35433070866141736" right="0" top="0.39370078740157483" bottom="0.11811023622047245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J1:K93"/>
  <sheetViews>
    <sheetView topLeftCell="A19" workbookViewId="0">
      <selection activeCell="O78" sqref="O78"/>
    </sheetView>
  </sheetViews>
  <sheetFormatPr baseColWidth="10" defaultColWidth="8.7109375" defaultRowHeight="16" x14ac:dyDescent="0.2"/>
  <cols>
    <col min="11" max="11" width="12.28515625" bestFit="1" customWidth="1"/>
  </cols>
  <sheetData>
    <row r="1" spans="10:11" x14ac:dyDescent="0.2">
      <c r="J1" t="s">
        <v>6</v>
      </c>
    </row>
    <row r="2" spans="10:11" x14ac:dyDescent="0.2">
      <c r="J2">
        <v>0</v>
      </c>
      <c r="K2" t="s">
        <v>7</v>
      </c>
    </row>
    <row r="3" spans="10:11" x14ac:dyDescent="0.2">
      <c r="J3">
        <v>1</v>
      </c>
      <c r="K3" t="s">
        <v>8</v>
      </c>
    </row>
    <row r="4" spans="10:11" x14ac:dyDescent="0.2">
      <c r="J4">
        <v>1.1000000000000001</v>
      </c>
      <c r="K4" t="s">
        <v>9</v>
      </c>
    </row>
    <row r="5" spans="10:11" x14ac:dyDescent="0.2">
      <c r="J5">
        <v>1.2</v>
      </c>
      <c r="K5" t="s">
        <v>40</v>
      </c>
    </row>
    <row r="6" spans="10:11" x14ac:dyDescent="0.2">
      <c r="J6">
        <v>1.3</v>
      </c>
      <c r="K6" t="s">
        <v>41</v>
      </c>
    </row>
    <row r="7" spans="10:11" x14ac:dyDescent="0.2">
      <c r="J7">
        <v>1.4</v>
      </c>
      <c r="K7" t="s">
        <v>42</v>
      </c>
    </row>
    <row r="8" spans="10:11" x14ac:dyDescent="0.2">
      <c r="J8">
        <v>1.5</v>
      </c>
      <c r="K8" t="s">
        <v>43</v>
      </c>
    </row>
    <row r="9" spans="10:11" x14ac:dyDescent="0.2">
      <c r="J9">
        <v>1.6</v>
      </c>
      <c r="K9" t="s">
        <v>44</v>
      </c>
    </row>
    <row r="10" spans="10:11" x14ac:dyDescent="0.2">
      <c r="J10">
        <v>1.7</v>
      </c>
      <c r="K10" t="s">
        <v>45</v>
      </c>
    </row>
    <row r="11" spans="10:11" x14ac:dyDescent="0.2">
      <c r="J11">
        <v>1.8</v>
      </c>
      <c r="K11" t="s">
        <v>46</v>
      </c>
    </row>
    <row r="12" spans="10:11" x14ac:dyDescent="0.2">
      <c r="J12">
        <v>1.9</v>
      </c>
      <c r="K12" t="s">
        <v>47</v>
      </c>
    </row>
    <row r="13" spans="10:11" x14ac:dyDescent="0.2">
      <c r="J13">
        <v>2</v>
      </c>
      <c r="K13" t="s">
        <v>48</v>
      </c>
    </row>
    <row r="14" spans="10:11" x14ac:dyDescent="0.2">
      <c r="J14">
        <v>2.1</v>
      </c>
      <c r="K14" t="s">
        <v>49</v>
      </c>
    </row>
    <row r="15" spans="10:11" x14ac:dyDescent="0.2">
      <c r="J15">
        <v>2.2000000000000002</v>
      </c>
      <c r="K15" t="s">
        <v>50</v>
      </c>
    </row>
    <row r="16" spans="10:11" x14ac:dyDescent="0.2">
      <c r="J16">
        <v>2.2999999999999998</v>
      </c>
      <c r="K16" t="s">
        <v>51</v>
      </c>
    </row>
    <row r="17" spans="10:11" x14ac:dyDescent="0.2">
      <c r="J17">
        <v>2.4</v>
      </c>
      <c r="K17" t="s">
        <v>52</v>
      </c>
    </row>
    <row r="18" spans="10:11" x14ac:dyDescent="0.2">
      <c r="J18">
        <v>2.5</v>
      </c>
      <c r="K18" t="s">
        <v>53</v>
      </c>
    </row>
    <row r="19" spans="10:11" x14ac:dyDescent="0.2">
      <c r="J19">
        <v>2.6</v>
      </c>
      <c r="K19" t="s">
        <v>54</v>
      </c>
    </row>
    <row r="20" spans="10:11" x14ac:dyDescent="0.2">
      <c r="J20">
        <v>2.7</v>
      </c>
      <c r="K20" t="s">
        <v>55</v>
      </c>
    </row>
    <row r="21" spans="10:11" x14ac:dyDescent="0.2">
      <c r="J21">
        <v>2.8</v>
      </c>
      <c r="K21" t="s">
        <v>56</v>
      </c>
    </row>
    <row r="22" spans="10:11" x14ac:dyDescent="0.2">
      <c r="J22">
        <v>2.9</v>
      </c>
      <c r="K22" t="s">
        <v>57</v>
      </c>
    </row>
    <row r="23" spans="10:11" x14ac:dyDescent="0.2">
      <c r="J23">
        <v>3</v>
      </c>
      <c r="K23" t="s">
        <v>58</v>
      </c>
    </row>
    <row r="24" spans="10:11" x14ac:dyDescent="0.2">
      <c r="J24">
        <v>3.1</v>
      </c>
      <c r="K24" t="s">
        <v>59</v>
      </c>
    </row>
    <row r="25" spans="10:11" x14ac:dyDescent="0.2">
      <c r="J25">
        <v>3.2</v>
      </c>
      <c r="K25" t="s">
        <v>60</v>
      </c>
    </row>
    <row r="26" spans="10:11" x14ac:dyDescent="0.2">
      <c r="J26">
        <v>3.3</v>
      </c>
      <c r="K26" t="s">
        <v>61</v>
      </c>
    </row>
    <row r="27" spans="10:11" x14ac:dyDescent="0.2">
      <c r="J27">
        <v>3.4</v>
      </c>
      <c r="K27" t="s">
        <v>62</v>
      </c>
    </row>
    <row r="28" spans="10:11" x14ac:dyDescent="0.2">
      <c r="J28">
        <v>3.5</v>
      </c>
      <c r="K28" t="s">
        <v>63</v>
      </c>
    </row>
    <row r="29" spans="10:11" x14ac:dyDescent="0.2">
      <c r="J29">
        <v>3.6</v>
      </c>
      <c r="K29" t="s">
        <v>64</v>
      </c>
    </row>
    <row r="30" spans="10:11" x14ac:dyDescent="0.2">
      <c r="J30">
        <v>3.7</v>
      </c>
      <c r="K30" t="s">
        <v>65</v>
      </c>
    </row>
    <row r="31" spans="10:11" x14ac:dyDescent="0.2">
      <c r="J31">
        <v>3.8</v>
      </c>
      <c r="K31" t="s">
        <v>66</v>
      </c>
    </row>
    <row r="32" spans="10:11" x14ac:dyDescent="0.2">
      <c r="J32">
        <v>3.9</v>
      </c>
      <c r="K32" t="s">
        <v>67</v>
      </c>
    </row>
    <row r="33" spans="10:11" x14ac:dyDescent="0.2">
      <c r="J33">
        <v>4</v>
      </c>
      <c r="K33" t="s">
        <v>68</v>
      </c>
    </row>
    <row r="34" spans="10:11" x14ac:dyDescent="0.2">
      <c r="J34">
        <v>4.0999999999999996</v>
      </c>
      <c r="K34" t="s">
        <v>69</v>
      </c>
    </row>
    <row r="35" spans="10:11" x14ac:dyDescent="0.2">
      <c r="J35">
        <v>4.2</v>
      </c>
      <c r="K35" t="s">
        <v>70</v>
      </c>
    </row>
    <row r="36" spans="10:11" x14ac:dyDescent="0.2">
      <c r="J36">
        <v>4.3</v>
      </c>
      <c r="K36" t="s">
        <v>10</v>
      </c>
    </row>
    <row r="37" spans="10:11" x14ac:dyDescent="0.2">
      <c r="J37">
        <v>4.4000000000000004</v>
      </c>
      <c r="K37" t="s">
        <v>71</v>
      </c>
    </row>
    <row r="38" spans="10:11" x14ac:dyDescent="0.2">
      <c r="J38">
        <v>4.5</v>
      </c>
      <c r="K38" t="s">
        <v>72</v>
      </c>
    </row>
    <row r="39" spans="10:11" x14ac:dyDescent="0.2">
      <c r="J39">
        <v>4.5999999999999996</v>
      </c>
      <c r="K39" t="s">
        <v>73</v>
      </c>
    </row>
    <row r="40" spans="10:11" x14ac:dyDescent="0.2">
      <c r="J40">
        <v>4.7</v>
      </c>
      <c r="K40" t="s">
        <v>74</v>
      </c>
    </row>
    <row r="41" spans="10:11" x14ac:dyDescent="0.2">
      <c r="J41">
        <v>4.8</v>
      </c>
      <c r="K41" t="s">
        <v>75</v>
      </c>
    </row>
    <row r="42" spans="10:11" x14ac:dyDescent="0.2">
      <c r="J42">
        <v>4.9000000000000004</v>
      </c>
      <c r="K42" t="s">
        <v>138</v>
      </c>
    </row>
    <row r="43" spans="10:11" x14ac:dyDescent="0.2">
      <c r="J43">
        <v>5</v>
      </c>
      <c r="K43" t="s">
        <v>76</v>
      </c>
    </row>
    <row r="44" spans="10:11" x14ac:dyDescent="0.2">
      <c r="J44">
        <v>5.0999999999999996</v>
      </c>
      <c r="K44" t="s">
        <v>77</v>
      </c>
    </row>
    <row r="45" spans="10:11" x14ac:dyDescent="0.2">
      <c r="J45">
        <v>5.2</v>
      </c>
      <c r="K45" t="s">
        <v>78</v>
      </c>
    </row>
    <row r="46" spans="10:11" x14ac:dyDescent="0.2">
      <c r="J46">
        <v>5.3</v>
      </c>
      <c r="K46" t="s">
        <v>79</v>
      </c>
    </row>
    <row r="47" spans="10:11" x14ac:dyDescent="0.2">
      <c r="J47">
        <v>5.4</v>
      </c>
      <c r="K47" t="s">
        <v>80</v>
      </c>
    </row>
    <row r="48" spans="10:11" x14ac:dyDescent="0.2">
      <c r="J48">
        <v>5.5</v>
      </c>
      <c r="K48" t="s">
        <v>81</v>
      </c>
    </row>
    <row r="49" spans="10:11" x14ac:dyDescent="0.2">
      <c r="J49">
        <v>5.6</v>
      </c>
      <c r="K49" t="s">
        <v>82</v>
      </c>
    </row>
    <row r="50" spans="10:11" x14ac:dyDescent="0.2">
      <c r="J50">
        <v>5.7</v>
      </c>
      <c r="K50" t="s">
        <v>83</v>
      </c>
    </row>
    <row r="51" spans="10:11" x14ac:dyDescent="0.2">
      <c r="J51">
        <v>5.8</v>
      </c>
      <c r="K51" t="s">
        <v>84</v>
      </c>
    </row>
    <row r="52" spans="10:11" x14ac:dyDescent="0.2">
      <c r="J52">
        <v>5.9</v>
      </c>
      <c r="K52" t="s">
        <v>85</v>
      </c>
    </row>
    <row r="53" spans="10:11" x14ac:dyDescent="0.2">
      <c r="J53">
        <v>6</v>
      </c>
      <c r="K53" t="s">
        <v>86</v>
      </c>
    </row>
    <row r="54" spans="10:11" x14ac:dyDescent="0.2">
      <c r="J54">
        <v>6.1</v>
      </c>
      <c r="K54" t="s">
        <v>87</v>
      </c>
    </row>
    <row r="55" spans="10:11" x14ac:dyDescent="0.2">
      <c r="J55">
        <v>6.2</v>
      </c>
      <c r="K55" t="s">
        <v>88</v>
      </c>
    </row>
    <row r="56" spans="10:11" x14ac:dyDescent="0.2">
      <c r="J56">
        <v>6.3</v>
      </c>
      <c r="K56" t="s">
        <v>89</v>
      </c>
    </row>
    <row r="57" spans="10:11" x14ac:dyDescent="0.2">
      <c r="J57">
        <v>6.4</v>
      </c>
      <c r="K57" t="s">
        <v>90</v>
      </c>
    </row>
    <row r="58" spans="10:11" x14ac:dyDescent="0.2">
      <c r="J58">
        <v>6.5</v>
      </c>
      <c r="K58" t="s">
        <v>91</v>
      </c>
    </row>
    <row r="59" spans="10:11" x14ac:dyDescent="0.2">
      <c r="J59">
        <v>6.6</v>
      </c>
      <c r="K59" t="s">
        <v>92</v>
      </c>
    </row>
    <row r="60" spans="10:11" x14ac:dyDescent="0.2">
      <c r="J60">
        <v>6.7</v>
      </c>
      <c r="K60" t="s">
        <v>93</v>
      </c>
    </row>
    <row r="61" spans="10:11" x14ac:dyDescent="0.2">
      <c r="J61">
        <v>6.8</v>
      </c>
      <c r="K61" t="s">
        <v>94</v>
      </c>
    </row>
    <row r="62" spans="10:11" x14ac:dyDescent="0.2">
      <c r="J62">
        <v>6.9</v>
      </c>
      <c r="K62" t="s">
        <v>95</v>
      </c>
    </row>
    <row r="63" spans="10:11" x14ac:dyDescent="0.2">
      <c r="J63">
        <v>7</v>
      </c>
      <c r="K63" t="s">
        <v>96</v>
      </c>
    </row>
    <row r="64" spans="10:11" x14ac:dyDescent="0.2">
      <c r="J64">
        <v>7.1</v>
      </c>
      <c r="K64" t="s">
        <v>97</v>
      </c>
    </row>
    <row r="65" spans="10:11" x14ac:dyDescent="0.2">
      <c r="J65">
        <v>7.2</v>
      </c>
      <c r="K65" t="s">
        <v>98</v>
      </c>
    </row>
    <row r="66" spans="10:11" x14ac:dyDescent="0.2">
      <c r="J66">
        <v>7.3</v>
      </c>
      <c r="K66" t="s">
        <v>99</v>
      </c>
    </row>
    <row r="67" spans="10:11" x14ac:dyDescent="0.2">
      <c r="J67">
        <v>7.4</v>
      </c>
      <c r="K67" t="s">
        <v>100</v>
      </c>
    </row>
    <row r="68" spans="10:11" x14ac:dyDescent="0.2">
      <c r="J68">
        <v>7.5</v>
      </c>
      <c r="K68" t="s">
        <v>101</v>
      </c>
    </row>
    <row r="69" spans="10:11" x14ac:dyDescent="0.2">
      <c r="J69">
        <v>7.6</v>
      </c>
      <c r="K69" t="s">
        <v>102</v>
      </c>
    </row>
    <row r="70" spans="10:11" x14ac:dyDescent="0.2">
      <c r="J70">
        <v>7.7</v>
      </c>
      <c r="K70" t="s">
        <v>103</v>
      </c>
    </row>
    <row r="71" spans="10:11" x14ac:dyDescent="0.2">
      <c r="J71">
        <v>7.8</v>
      </c>
      <c r="K71" t="s">
        <v>104</v>
      </c>
    </row>
    <row r="72" spans="10:11" x14ac:dyDescent="0.2">
      <c r="J72">
        <v>7.9</v>
      </c>
      <c r="K72" t="s">
        <v>105</v>
      </c>
    </row>
    <row r="73" spans="10:11" x14ac:dyDescent="0.2">
      <c r="J73">
        <v>8</v>
      </c>
      <c r="K73" t="s">
        <v>106</v>
      </c>
    </row>
    <row r="74" spans="10:11" x14ac:dyDescent="0.2">
      <c r="J74">
        <v>8.1</v>
      </c>
      <c r="K74" t="s">
        <v>107</v>
      </c>
    </row>
    <row r="75" spans="10:11" x14ac:dyDescent="0.2">
      <c r="J75">
        <v>8.1999999999999993</v>
      </c>
      <c r="K75" t="s">
        <v>108</v>
      </c>
    </row>
    <row r="76" spans="10:11" x14ac:dyDescent="0.2">
      <c r="J76">
        <v>8.3000000000000007</v>
      </c>
      <c r="K76" t="s">
        <v>109</v>
      </c>
    </row>
    <row r="77" spans="10:11" x14ac:dyDescent="0.2">
      <c r="J77">
        <v>8.4</v>
      </c>
      <c r="K77" t="s">
        <v>110</v>
      </c>
    </row>
    <row r="78" spans="10:11" x14ac:dyDescent="0.2">
      <c r="J78">
        <v>8.5</v>
      </c>
      <c r="K78" t="s">
        <v>111</v>
      </c>
    </row>
    <row r="79" spans="10:11" x14ac:dyDescent="0.2">
      <c r="J79">
        <v>8.6</v>
      </c>
      <c r="K79" t="s">
        <v>112</v>
      </c>
    </row>
    <row r="80" spans="10:11" x14ac:dyDescent="0.2">
      <c r="J80">
        <v>8.6999999999999993</v>
      </c>
      <c r="K80" t="s">
        <v>113</v>
      </c>
    </row>
    <row r="81" spans="10:11" x14ac:dyDescent="0.2">
      <c r="J81">
        <v>8.8000000000000007</v>
      </c>
      <c r="K81" t="s">
        <v>114</v>
      </c>
    </row>
    <row r="82" spans="10:11" x14ac:dyDescent="0.2">
      <c r="J82">
        <v>8.9</v>
      </c>
      <c r="K82" t="s">
        <v>115</v>
      </c>
    </row>
    <row r="83" spans="10:11" x14ac:dyDescent="0.2">
      <c r="J83">
        <v>9</v>
      </c>
      <c r="K83" t="s">
        <v>116</v>
      </c>
    </row>
    <row r="84" spans="10:11" x14ac:dyDescent="0.2">
      <c r="J84">
        <v>9.1</v>
      </c>
      <c r="K84" t="s">
        <v>117</v>
      </c>
    </row>
    <row r="85" spans="10:11" x14ac:dyDescent="0.2">
      <c r="J85">
        <v>9.1999999999999993</v>
      </c>
      <c r="K85" t="s">
        <v>118</v>
      </c>
    </row>
    <row r="86" spans="10:11" x14ac:dyDescent="0.2">
      <c r="J86">
        <v>9.3000000000000007</v>
      </c>
      <c r="K86" t="s">
        <v>119</v>
      </c>
    </row>
    <row r="87" spans="10:11" x14ac:dyDescent="0.2">
      <c r="J87">
        <v>9.4</v>
      </c>
      <c r="K87" t="s">
        <v>120</v>
      </c>
    </row>
    <row r="88" spans="10:11" x14ac:dyDescent="0.2">
      <c r="J88">
        <v>9.5</v>
      </c>
      <c r="K88" t="s">
        <v>121</v>
      </c>
    </row>
    <row r="89" spans="10:11" x14ac:dyDescent="0.2">
      <c r="J89">
        <v>9.6</v>
      </c>
      <c r="K89" t="s">
        <v>122</v>
      </c>
    </row>
    <row r="90" spans="10:11" x14ac:dyDescent="0.2">
      <c r="J90">
        <v>9.6999999999999993</v>
      </c>
      <c r="K90" t="s">
        <v>123</v>
      </c>
    </row>
    <row r="91" spans="10:11" x14ac:dyDescent="0.2">
      <c r="J91">
        <v>9.8000000000000007</v>
      </c>
      <c r="K91" t="s">
        <v>124</v>
      </c>
    </row>
    <row r="92" spans="10:11" x14ac:dyDescent="0.2">
      <c r="J92">
        <v>9.9</v>
      </c>
      <c r="K92" t="s">
        <v>125</v>
      </c>
    </row>
    <row r="93" spans="10:11" x14ac:dyDescent="0.2">
      <c r="J93">
        <v>10</v>
      </c>
      <c r="K93" t="s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workbookViewId="0">
      <selection activeCell="E12" sqref="E12"/>
    </sheetView>
  </sheetViews>
  <sheetFormatPr baseColWidth="10" defaultColWidth="8.7109375" defaultRowHeight="16" x14ac:dyDescent="0.2"/>
  <cols>
    <col min="1" max="1" width="20.85546875" customWidth="1"/>
    <col min="2" max="2" width="17.85546875" customWidth="1"/>
    <col min="3" max="3" width="7.140625" customWidth="1"/>
    <col min="4" max="4" width="28.140625" customWidth="1"/>
    <col min="5" max="5" width="23.5703125" customWidth="1"/>
  </cols>
  <sheetData>
    <row r="1" spans="1:5" ht="17" x14ac:dyDescent="0.2">
      <c r="A1" s="7" t="s">
        <v>13</v>
      </c>
      <c r="B1" s="7"/>
      <c r="C1" s="4" t="s">
        <v>134</v>
      </c>
      <c r="D1" s="4" t="s">
        <v>136</v>
      </c>
      <c r="E1" s="4" t="s">
        <v>135</v>
      </c>
    </row>
    <row r="2" spans="1:5" ht="17" x14ac:dyDescent="0.2">
      <c r="A2" s="7" t="s">
        <v>14</v>
      </c>
      <c r="B2" s="7"/>
      <c r="C2" s="7">
        <v>1</v>
      </c>
      <c r="D2" s="7" t="s">
        <v>133</v>
      </c>
      <c r="E2" s="7"/>
    </row>
    <row r="3" spans="1:5" ht="17" x14ac:dyDescent="0.2">
      <c r="A3" s="7" t="s">
        <v>11</v>
      </c>
      <c r="B3" s="7"/>
      <c r="C3" s="7">
        <v>2</v>
      </c>
      <c r="D3" s="8" t="s">
        <v>133</v>
      </c>
      <c r="E3" s="7"/>
    </row>
    <row r="4" spans="1:5" ht="17" x14ac:dyDescent="0.2">
      <c r="A4" s="7" t="s">
        <v>12</v>
      </c>
      <c r="B4" s="7"/>
      <c r="C4" s="7">
        <v>3</v>
      </c>
      <c r="D4" s="8"/>
      <c r="E4" s="7"/>
    </row>
    <row r="5" spans="1:5" ht="17" x14ac:dyDescent="0.2">
      <c r="A5" s="7"/>
      <c r="B5" s="7"/>
      <c r="C5" s="7">
        <v>4</v>
      </c>
      <c r="D5" s="9"/>
      <c r="E5" s="7"/>
    </row>
    <row r="6" spans="1:5" ht="17" x14ac:dyDescent="0.2">
      <c r="A6" s="7"/>
      <c r="B6" s="7"/>
      <c r="C6" s="7">
        <v>5</v>
      </c>
      <c r="D6" s="9"/>
      <c r="E6" s="7"/>
    </row>
    <row r="7" spans="1:5" ht="17" x14ac:dyDescent="0.2">
      <c r="A7" s="7"/>
      <c r="B7" s="7"/>
      <c r="C7" s="7"/>
      <c r="D7" s="7"/>
      <c r="E7" s="7"/>
    </row>
    <row r="8" spans="1:5" ht="17" x14ac:dyDescent="0.2">
      <c r="A8" s="7"/>
      <c r="B8" s="7"/>
      <c r="C8" s="7"/>
      <c r="D8" s="9"/>
      <c r="E8" s="7"/>
    </row>
    <row r="9" spans="1:5" ht="17" x14ac:dyDescent="0.2">
      <c r="C9" s="7"/>
      <c r="D9" s="7"/>
      <c r="E9" s="7"/>
    </row>
    <row r="10" spans="1:5" ht="17" x14ac:dyDescent="0.2">
      <c r="C10" s="7"/>
      <c r="D10" s="7"/>
      <c r="E10" s="7"/>
    </row>
    <row r="11" spans="1:5" ht="17" x14ac:dyDescent="0.2">
      <c r="C11" s="1"/>
      <c r="D11" s="1"/>
      <c r="E11" s="1"/>
    </row>
    <row r="12" spans="1:5" ht="17" x14ac:dyDescent="0.2">
      <c r="C12" s="1"/>
      <c r="D12" s="1"/>
      <c r="E12" s="1"/>
    </row>
    <row r="13" spans="1:5" ht="17" x14ac:dyDescent="0.2">
      <c r="C13" s="1"/>
      <c r="D13" s="1"/>
      <c r="E13" s="1"/>
    </row>
    <row r="14" spans="1:5" ht="17" x14ac:dyDescent="0.2">
      <c r="C14" s="1"/>
      <c r="D14" s="1"/>
      <c r="E14" s="1"/>
    </row>
    <row r="15" spans="1:5" ht="17" x14ac:dyDescent="0.2">
      <c r="C15" s="1"/>
      <c r="D15" s="1"/>
      <c r="E15" s="1"/>
    </row>
    <row r="16" spans="1:5" ht="17" x14ac:dyDescent="0.2">
      <c r="C16" s="1"/>
      <c r="D16" s="1"/>
      <c r="E16" s="1"/>
    </row>
    <row r="17" spans="3:5" ht="17" x14ac:dyDescent="0.2">
      <c r="C17" s="1"/>
      <c r="D17" s="1"/>
      <c r="E17" s="1"/>
    </row>
    <row r="18" spans="3:5" ht="17" x14ac:dyDescent="0.2">
      <c r="C18" s="1"/>
      <c r="D18" s="1"/>
      <c r="E18" s="1"/>
    </row>
    <row r="19" spans="3:5" ht="17" x14ac:dyDescent="0.2">
      <c r="C19" s="1"/>
      <c r="D19" s="1"/>
      <c r="E19" s="1"/>
    </row>
    <row r="20" spans="3:5" ht="17" x14ac:dyDescent="0.2">
      <c r="C20" s="1"/>
      <c r="D20" s="1"/>
      <c r="E20" s="1"/>
    </row>
    <row r="21" spans="3:5" ht="17" x14ac:dyDescent="0.2">
      <c r="C21" s="1"/>
      <c r="D21" s="1"/>
      <c r="E21" s="1"/>
    </row>
    <row r="22" spans="3:5" ht="17" x14ac:dyDescent="0.2">
      <c r="C22" s="1"/>
      <c r="D22" s="1"/>
      <c r="E22" s="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00000000-0001-0000-0300-000000000000}">
  <dimension ref="A1:C18"/>
  <sheetViews>
    <sheetView workbookViewId="0">
      <selection activeCell="G10" sqref="G10"/>
    </sheetView>
  </sheetViews>
  <sheetFormatPr baseColWidth="10" defaultColWidth="8.85546875" defaultRowHeight="16" ns3:dyDescent="0.2"/>
  <cols>
    <col min="1" max="1" width="4.28515625" style="6" customWidth="1"/>
    <col min="2" max="2" width="11.28515625" style="6" customWidth="1"/>
    <col min="3" max="3" width="22.7109375" style="6" customWidth="1"/>
    <col min="4" max="4" width="9.7109375" style="6" customWidth="1"/>
    <col min="5" max="16384" width="8.85546875" style="6"/>
  </cols>
  <sheetData>
    <row r="1" spans="1:3" ht="24" customHeight="1" ns3:dyDescent="0.2">
      <c r="A1" s="29" t="s">
        <v>134</v>
      </c>
      <c r="B1" s="29" t="s">
        <v>139</v>
      </c>
      <c r="C1" s="29" t="s">
        <v>20</v>
      </c>
      <c r="D1" t="inlineStr">
        <is>
          <t>Nhóm</t>
        </is>
      </c>
      <c r="E1" t="inlineStr">
        <is>
          <t>Tên nhóm</t>
        </is>
      </c>
      <c r="F1" t="inlineStr">
        <is>
          <t>Vai trò</t>
        </is>
      </c>
      <c r="G1" t="inlineStr">
        <is>
          <t>Ngành</t>
        </is>
      </c>
      <c r="H1" t="inlineStr">
        <is>
          <t>Email</t>
        </is>
      </c>
      <c r="I1" t="inlineStr">
        <is>
          <t>Đơn vị công tác</t>
        </is>
      </c>
      <c r="J1" t="inlineStr">
        <is>
          <t>Buổi bảo vệ</t>
        </is>
      </c>
    </row>
    <row r="2" spans="1:3" ht="24" customHeight="1" ns3:dyDescent="0.2">
      <c r="A2" s="35">
        <v>1</v>
      </c>
      <c r="B2" s="31" t="s">
        <v>147</v>
      </c>
      <c r="C2" s="32" t="s">
        <v>148</v>
      </c>
      <c r="D2" t="inlineStr">
        <is>
          <t>Nhóm 4</t>
        </is>
      </c>
      <c r="E2" t="inlineStr">
        <is>
          <t>CAP</t>
        </is>
      </c>
      <c r="F2" t="inlineStr">
        <is>
          <t>Trưởng nhóm</t>
        </is>
      </c>
      <c r="G2" t="inlineStr">
        <is>
          <t>CNTT</t>
        </is>
      </c>
      <c r="H2" t="inlineStr">
        <is>
          <t>vuthidieuanh1511@gmail.com</t>
        </is>
      </c>
      <c r="I2" t="inlineStr">
        <is>
          <t>TMA Solution (QA)</t>
        </is>
      </c>
      <c r="J2" t="inlineStr">
        <is>
          <t>Buổi S08</t>
        </is>
      </c>
      <c r="K2" t="inlineStr">
        <is>
          <t>Đang học</t>
        </is>
      </c>
    </row>
    <row r="3" spans="1:3" ht="24" customHeight="1" ns3:dyDescent="0.2">
      <c r="A3" s="35">
        <f>A2+1</f>
        <v>2</v>
      </c>
      <c r="B3" s="31" t="s">
        <v>149</v>
      </c>
      <c r="C3" s="32" t="s">
        <v>150</v>
      </c>
      <c r="D3" t="inlineStr">
        <is>
          <t>Miễn</t>
        </is>
      </c>
      <c r="E3" t="inlineStr">
        <is>
          <t>Miễn học phần</t>
        </is>
      </c>
      <c r="F3" t="inlineStr">
        <is>
          <t>Được miễn môn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>Miễn thi</t>
        </is>
      </c>
      <c r="K3" t="inlineStr">
        <is>
          <t>Miễn môn học</t>
        </is>
      </c>
    </row>
    <row r="4" spans="1:3" ht="24" customHeight="1" ns3:dyDescent="0.2">
      <c r="A4" s="35">
        <f t="shared" ref="A4:A18" si="0">A3+1</f>
        <v>3</v>
      </c>
      <c r="B4" s="31" t="s">
        <v>151</v>
      </c>
      <c r="C4" s="32" t="s">
        <v>152</v>
      </c>
      <c r="D4" t="inlineStr">
        <is>
          <t>Nhóm 4</t>
        </is>
      </c>
      <c r="E4" t="inlineStr">
        <is>
          <t>CAP</t>
        </is>
      </c>
      <c r="F4" t="inlineStr">
        <is>
          <t>Thành viên</t>
        </is>
      </c>
      <c r="G4" t="inlineStr">
        <is>
          <t>CNTT</t>
        </is>
      </c>
      <c r="H4" t="inlineStr">
        <is>
          <t>chidiep23122003@gmail.com</t>
        </is>
      </c>
      <c r="I4" t="inlineStr">
        <is>
          <t>Digityze Asia</t>
        </is>
      </c>
      <c r="J4" t="inlineStr">
        <is>
          <t>Buổi S08</t>
        </is>
      </c>
      <c r="K4" t="inlineStr">
        <is>
          <t>Đang học</t>
        </is>
      </c>
    </row>
    <row r="5" spans="1:3" ht="24" customHeight="1" ns3:dyDescent="0.2">
      <c r="A5" s="35">
        <f t="shared" si="0"/>
        <v>4</v>
      </c>
      <c r="B5" s="31" t="s">
        <v>153</v>
      </c>
      <c r="C5" s="32" t="s">
        <v>154</v>
      </c>
      <c r="D5" t="inlineStr">
        <is>
          <t>Nhóm 2</t>
        </is>
      </c>
      <c r="E5" t="inlineStr">
        <is>
          <t>RootCA</t>
        </is>
      </c>
      <c r="F5" t="inlineStr">
        <is>
          <t>Trưởng nhóm</t>
        </is>
      </c>
      <c r="G5" t="inlineStr">
        <is>
          <t>CNTT</t>
        </is>
      </c>
      <c r="H5" t="inlineStr">
        <is>
          <t>hienhungvuong@gmail.com</t>
        </is>
      </c>
      <c r="I5" t="inlineStr">
        <is>
          <t>Dược Imexpharm</t>
        </is>
      </c>
      <c r="J5" t="inlineStr">
        <is>
          <t>Buổi S07</t>
        </is>
      </c>
      <c r="K5" t="inlineStr">
        <is>
          <t>Đang học</t>
        </is>
      </c>
    </row>
    <row r="6" spans="1:3" ht="24" customHeight="1" ns3:dyDescent="0.2">
      <c r="A6" s="35">
        <f t="shared" si="0"/>
        <v>5</v>
      </c>
      <c r="B6" s="31" t="s">
        <v>155</v>
      </c>
      <c r="C6" s="32" t="s">
        <v>156</v>
      </c>
      <c r="D6" t="inlineStr">
        <is>
          <t>Nhóm 1</t>
        </is>
      </c>
      <c r="E6" t="inlineStr">
        <is>
          <t>VAULT</t>
        </is>
      </c>
      <c r="F6" t="inlineStr">
        <is>
          <t>Trưởng nhóm</t>
        </is>
      </c>
      <c r="G6" t="inlineStr">
        <is>
          <t>ATTT</t>
        </is>
      </c>
      <c r="H6" t="inlineStr">
        <is>
          <t>hoainnuit@gmail.com</t>
        </is>
      </c>
      <c r="I6" t="inlineStr">
        <is>
          <t>AgileOps (DevOps)</t>
        </is>
      </c>
      <c r="J6" t="inlineStr">
        <is>
          <t>Buổi S07</t>
        </is>
      </c>
      <c r="K6" t="inlineStr">
        <is>
          <t>Đang học</t>
        </is>
      </c>
    </row>
    <row r="7" spans="1:3" ht="24" customHeight="1" ns3:dyDescent="0.2">
      <c r="A7" s="35">
        <f t="shared" si="0"/>
        <v>6</v>
      </c>
      <c r="B7" s="31" t="s">
        <v>157</v>
      </c>
      <c r="C7" s="32" t="s">
        <v>158</v>
      </c>
      <c r="D7" t="inlineStr">
        <is>
          <t>Nhóm 1</t>
        </is>
      </c>
      <c r="E7" t="inlineStr">
        <is>
          <t>VAULT</t>
        </is>
      </c>
      <c r="F7" t="inlineStr">
        <is>
          <t>Thành viên</t>
        </is>
      </c>
      <c r="G7" t="inlineStr">
        <is>
          <t>ATTT</t>
        </is>
      </c>
      <c r="H7" t="inlineStr">
        <is>
          <t>longhoangnguyen12092@gmail.com</t>
        </is>
      </c>
      <c r="I7" t="inlineStr">
        <is>
          <t>An ninh mạng THD</t>
        </is>
      </c>
      <c r="J7" t="inlineStr">
        <is>
          <t>Buổi S07</t>
        </is>
      </c>
      <c r="K7" t="inlineStr">
        <is>
          <t>Đang học</t>
        </is>
      </c>
    </row>
    <row r="8" spans="1:3" ht="24" customHeight="1" ns3:dyDescent="0.2">
      <c r="A8" s="35">
        <f t="shared" si="0"/>
        <v>7</v>
      </c>
      <c r="B8" s="31" t="s">
        <v>159</v>
      </c>
      <c r="C8" s="32" t="s">
        <v>160</v>
      </c>
      <c r="D8" t="inlineStr">
        <is>
          <t>Nhóm 3</t>
        </is>
      </c>
      <c r="E8" t="inlineStr">
        <is>
          <t>TMN Root of Trust</t>
        </is>
      </c>
      <c r="F8" t="inlineStr">
        <is>
          <t>Trưởng nhóm</t>
        </is>
      </c>
      <c r="G8" t="inlineStr">
        <is>
          <t>ATTT</t>
        </is>
      </c>
      <c r="H8" t="inlineStr">
        <is>
          <t>minh8356@gmail.com</t>
        </is>
      </c>
      <c r="I8" t="inlineStr">
        <is>
          <t>Ngân hàng Nam Á</t>
        </is>
      </c>
      <c r="J8" t="inlineStr">
        <is>
          <t>Buổi S08</t>
        </is>
      </c>
      <c r="K8" t="inlineStr">
        <is>
          <t>Đang học</t>
        </is>
      </c>
    </row>
    <row r="9" spans="1:3" ht="24" customHeight="1" ns3:dyDescent="0.2">
      <c r="A9" s="35">
        <f t="shared" si="0"/>
        <v>8</v>
      </c>
      <c r="B9" s="31" t="s">
        <v>161</v>
      </c>
      <c r="C9" s="32" t="s">
        <v>162</v>
      </c>
      <c r="D9" t="inlineStr">
        <is>
          <t>Miễn</t>
        </is>
      </c>
      <c r="E9" t="inlineStr">
        <is>
          <t>Miễn học phần</t>
        </is>
      </c>
      <c r="F9" t="inlineStr">
        <is>
          <t>Được miễn môn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>Miễn thi</t>
        </is>
      </c>
      <c r="K9" t="inlineStr">
        <is>
          <t>Miễn môn học</t>
        </is>
      </c>
    </row>
    <row r="10" spans="1:3" ht="24" customHeight="1" ns3:dyDescent="0.2">
      <c r="A10" s="35">
        <f t="shared" si="0"/>
        <v>9</v>
      </c>
      <c r="B10" s="31" t="s">
        <v>163</v>
      </c>
      <c r="C10" s="32" t="s">
        <v>164</v>
      </c>
      <c r="D10" t="inlineStr">
        <is>
          <t>Nhóm 3</t>
        </is>
      </c>
      <c r="E10" t="inlineStr">
        <is>
          <t>TMN Root of Trust</t>
        </is>
      </c>
      <c r="F10" t="inlineStr">
        <is>
          <t>Thành viên (Lớp trưởng)</t>
        </is>
      </c>
      <c r="G10" t="inlineStr">
        <is>
          <t>CNTT</t>
        </is>
      </c>
      <c r="H10" t="inlineStr">
        <is>
          <t>triennguyen1911@gmail.com</t>
        </is>
      </c>
      <c r="I10" t="inlineStr">
        <is>
          <t>Getz Pharma</t>
        </is>
      </c>
      <c r="J10" t="inlineStr">
        <is>
          <t>Buổi S08</t>
        </is>
      </c>
      <c r="K10" t="inlineStr">
        <is>
          <t>Đang học</t>
        </is>
      </c>
    </row>
    <row r="11" spans="1:3" ht="24" customHeight="1" ns3:dyDescent="0.2">
      <c r="A11" s="35">
        <f>A10+1</f>
        <v>10</v>
      </c>
      <c r="B11" s="31" t="s">
        <v>165</v>
      </c>
      <c r="C11" s="32" t="s">
        <v>166</v>
      </c>
      <c r="D11" t="inlineStr">
        <is>
          <t>Nhóm 5</t>
        </is>
      </c>
      <c r="E11" t="inlineStr">
        <is>
          <t>TYN</t>
        </is>
      </c>
      <c r="F11" t="inlineStr">
        <is>
          <t>Trưởng nhóm</t>
        </is>
      </c>
      <c r="G11" t="inlineStr">
        <is>
          <t>CNTT</t>
        </is>
      </c>
      <c r="H11" t="inlineStr">
        <is>
          <t>vonhat010@gmail.com</t>
        </is>
      </c>
      <c r="I11" t="inlineStr">
        <is>
          <t>Đi học</t>
        </is>
      </c>
      <c r="J11" t="inlineStr">
        <is>
          <t>Buổi S09</t>
        </is>
      </c>
      <c r="K11" t="inlineStr">
        <is>
          <t>Đang học</t>
        </is>
      </c>
    </row>
    <row r="12" spans="1:3" ht="24" customHeight="1" ns3:dyDescent="0.2">
      <c r="A12" s="35">
        <f t="shared" si="0"/>
        <v>11</v>
      </c>
      <c r="B12" s="31" t="s">
        <v>167</v>
      </c>
      <c r="C12" s="32" t="s">
        <v>168</v>
      </c>
      <c r="D12" t="inlineStr">
        <is>
          <t>Nhóm 2</t>
        </is>
      </c>
      <c r="E12" t="inlineStr">
        <is>
          <t>RootCA</t>
        </is>
      </c>
      <c r="F12" t="inlineStr">
        <is>
          <t>Thành viên</t>
        </is>
      </c>
      <c r="G12" t="inlineStr">
        <is>
          <t>CNTT</t>
        </is>
      </c>
      <c r="H12" t="inlineStr">
        <is>
          <t>phu.nguyen@owasp.org</t>
        </is>
      </c>
      <c r="I12" t="inlineStr">
        <is>
          <t>Cố vấn an ninh mạng (OWASP)</t>
        </is>
      </c>
      <c r="J12" t="inlineStr">
        <is>
          <t>Buổi S07</t>
        </is>
      </c>
      <c r="K12" t="inlineStr">
        <is>
          <t>Đang học</t>
        </is>
      </c>
    </row>
    <row r="13" spans="1:3" ht="24" customHeight="1" ns3:dyDescent="0.2">
      <c r="A13" s="35">
        <f t="shared" si="0"/>
        <v>12</v>
      </c>
      <c r="B13" s="31" t="s">
        <v>169</v>
      </c>
      <c r="C13" s="32" t="s">
        <v>170</v>
      </c>
      <c r="D13" t="inlineStr">
        <is>
          <t>Nhóm 1</t>
        </is>
      </c>
      <c r="E13" t="inlineStr">
        <is>
          <t>VAULT</t>
        </is>
      </c>
      <c r="F13" t="inlineStr">
        <is>
          <t>Thành viên</t>
        </is>
      </c>
      <c r="G13" t="inlineStr">
        <is>
          <t>ATTT</t>
        </is>
      </c>
      <c r="H13" t="inlineStr">
        <is>
          <t>nguyendinhquan135@gmail.com</t>
        </is>
      </c>
      <c r="I13" t="inlineStr">
        <is>
          <t>ĐH Nguyễn Tất Thành</t>
        </is>
      </c>
      <c r="J13" t="inlineStr">
        <is>
          <t>Buổi S07</t>
        </is>
      </c>
      <c r="K13" t="inlineStr">
        <is>
          <t>Đang học</t>
        </is>
      </c>
    </row>
    <row r="14" spans="1:3" ht="24" customHeight="1" ns3:dyDescent="0.2">
      <c r="A14" s="35">
        <f t="shared" si="0"/>
        <v>13</v>
      </c>
      <c r="B14" s="31" t="s">
        <v>171</v>
      </c>
      <c r="C14" s="32" t="s">
        <v>172</v>
      </c>
      <c r="D14" t="inlineStr">
        <is>
          <t>Nhóm 2</t>
        </is>
      </c>
      <c r="E14" t="inlineStr">
        <is>
          <t>RootCA</t>
        </is>
      </c>
      <c r="F14" t="inlineStr">
        <is>
          <t>Thành viên</t>
        </is>
      </c>
      <c r="G14" t="inlineStr">
        <is>
          <t>CNTT</t>
        </is>
      </c>
      <c r="H14" t="inlineStr">
        <is>
          <t>sonnn.tech@gmail.com</t>
        </is>
      </c>
      <c r="I14" t="inlineStr">
        <is>
          <t>VinSmart Future</t>
        </is>
      </c>
      <c r="J14" t="inlineStr">
        <is>
          <t>Buổi S07</t>
        </is>
      </c>
      <c r="K14" t="inlineStr">
        <is>
          <t>Đang học</t>
        </is>
      </c>
    </row>
    <row r="15" spans="1:3" ht="24" customHeight="1" ns3:dyDescent="0.2">
      <c r="A15" s="35">
        <f t="shared" si="0"/>
        <v>14</v>
      </c>
      <c r="B15" s="31" t="s">
        <v>173</v>
      </c>
      <c r="C15" s="32" t="s">
        <v>174</v>
      </c>
      <c r="D15" t="inlineStr">
        <is>
          <t>Nhóm 5</t>
        </is>
      </c>
      <c r="E15" t="inlineStr">
        <is>
          <t>TYN</t>
        </is>
      </c>
      <c r="F15" t="inlineStr">
        <is>
          <t>Thành viên</t>
        </is>
      </c>
      <c r="G15" t="inlineStr">
        <is>
          <t>CNTT</t>
        </is>
      </c>
      <c r="H15" t="inlineStr">
        <is>
          <t>thaisonnam@gmail.com</t>
        </is>
      </c>
      <c r="I15" t="inlineStr">
        <is>
          <t>Hitachi Digital Service</t>
        </is>
      </c>
      <c r="J15" t="inlineStr">
        <is>
          <t>Buổi S09</t>
        </is>
      </c>
      <c r="K15" t="inlineStr">
        <is>
          <t>Đang học</t>
        </is>
      </c>
    </row>
    <row r="16" spans="1:3" ht="24" customHeight="1" ns3:dyDescent="0.2">
      <c r="A16" s="35">
        <f t="shared" si="0"/>
        <v>15</v>
      </c>
      <c r="B16" s="31" t="s">
        <v>175</v>
      </c>
      <c r="C16" s="32" t="s">
        <v>176</v>
      </c>
      <c r="D16" t="inlineStr">
        <is>
          <t>Nhóm 3</t>
        </is>
      </c>
      <c r="E16" t="inlineStr">
        <is>
          <t>TMN Root of Trust</t>
        </is>
      </c>
      <c r="F16" t="inlineStr">
        <is>
          <t>Thành viên</t>
        </is>
      </c>
      <c r="G16" t="inlineStr">
        <is>
          <t>ATTT</t>
        </is>
      </c>
      <c r="H16" t="inlineStr">
        <is>
          <t>triettran030103@gmail.com</t>
        </is>
      </c>
      <c r="I16" t="inlineStr">
        <is>
          <t>OPSWAT Việt Nam</t>
        </is>
      </c>
      <c r="J16" t="inlineStr">
        <is>
          <t>Buổi S08</t>
        </is>
      </c>
      <c r="K16" t="inlineStr">
        <is>
          <t>Đang học</t>
        </is>
      </c>
    </row>
    <row r="17" spans="1:3" ht="24" customHeight="1" ns3:dyDescent="0.2">
      <c r="A17" s="35">
        <f t="shared" si="0"/>
        <v>16</v>
      </c>
      <c r="B17" s="31" t="s">
        <v>177</v>
      </c>
      <c r="C17" s="32" t="s">
        <v>178</v>
      </c>
      <c r="D17" t="inlineStr">
        <is>
          <t>Nhóm 5</t>
        </is>
      </c>
      <c r="E17" t="inlineStr">
        <is>
          <t>TYN</t>
        </is>
      </c>
      <c r="F17" t="inlineStr">
        <is>
          <t>Thành viên</t>
        </is>
      </c>
      <c r="G17" t="inlineStr">
        <is>
          <t>CNTT</t>
        </is>
      </c>
      <c r="H17" t="inlineStr">
        <is>
          <t>nguyencongy0493@gmail.com</t>
        </is>
      </c>
      <c r="I17" t="inlineStr">
        <is>
          <t>Ngân hàng ACB</t>
        </is>
      </c>
      <c r="J17" t="inlineStr">
        <is>
          <t>Buổi S09</t>
        </is>
      </c>
      <c r="K17" t="inlineStr">
        <is>
          <t>Đang học</t>
        </is>
      </c>
    </row>
    <row r="18" spans="1:3" ht="24" customHeight="1" ns3:dyDescent="0.2">
      <c r="A18" s="35">
        <f t="shared" si="0"/>
        <v>17</v>
      </c>
      <c r="B18" s="33" t="s">
        <v>179</v>
      </c>
      <c r="C18" s="34" t="s">
        <v>180</v>
      </c>
      <c r="D18" t="inlineStr">
        <is>
          <t>Nhóm 4</t>
        </is>
      </c>
      <c r="E18" t="inlineStr">
        <is>
          <t>CAP</t>
        </is>
      </c>
      <c r="F18" t="inlineStr">
        <is>
          <t>Thành viên</t>
        </is>
      </c>
      <c r="G18" t="inlineStr">
        <is>
          <t>Tin học ứng dụng</t>
        </is>
      </c>
      <c r="H18" t="inlineStr">
        <is>
          <t>dqphuc011@gmail.com</t>
        </is>
      </c>
      <c r="I18" t="inlineStr">
        <is>
          <t>Trung tâm 286 - BTL 86</t>
        </is>
      </c>
      <c r="J18" t="inlineStr">
        <is>
          <t>Buổi S08</t>
        </is>
      </c>
      <c r="K18" t="inlineStr">
        <is>
          <t>Đang học</t>
        </is>
      </c>
    </row>
  </sheetData>
  <phoneticPr fontId="13" type="noConversion"/>
  <pageMargins left="0.7" right="0.7" top="0.75" bottom="0.75" header="0.3" footer="0.3"/>
  <pageSetup paperSize="9" orientation="portrait" ns4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MAU</vt:lpstr>
      <vt:lpstr>diem bang chu</vt:lpstr>
      <vt:lpstr>diem danh hang ngay</vt:lpstr>
      <vt:lpstr>danh sach sinh vien</vt:lpstr>
      <vt:lpstr>cam_thi</vt:lpstr>
      <vt:lpstr>cấm_thi_danh_sách_cấm_thi</vt:lpstr>
      <vt:lpstr>mon_thi</vt:lpstr>
      <vt:lpstr>môn_thi</vt:lpstr>
      <vt:lpstr>mon_thi_hk</vt:lpstr>
      <vt:lpstr>môn_thi_hk</vt:lpstr>
      <vt:lpstr>thay_day</vt:lpstr>
      <vt:lpstr>thay_day_mon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Duong</dc:creator>
  <cp:lastModifiedBy>NGUYỄN AN KHƯƠNG</cp:lastModifiedBy>
  <cp:lastPrinted>2026-03-10T04:10:39Z</cp:lastPrinted>
  <dcterms:created xsi:type="dcterms:W3CDTF">2015-05-11T01:18:17Z</dcterms:created>
  <dcterms:modified xsi:type="dcterms:W3CDTF">2026-10-02T09:16:36Z</dcterms:modified>
</cp:coreProperties>
</file>